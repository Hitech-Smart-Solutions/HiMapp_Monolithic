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192.168.1.254\smart solution\Documents\HiMapp\Total Estimations\"/>
    </mc:Choice>
  </mc:AlternateContent>
  <xr:revisionPtr revIDLastSave="0" documentId="13_ncr:1_{C9D1510B-0E25-4C6A-AFC5-5CE3BFE03043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Sheet1" sheetId="4" r:id="rId1"/>
    <sheet name="WBS" sheetId="2" r:id="rId2"/>
    <sheet name="Epic Timeline" sheetId="3" r:id="rId3"/>
  </sheets>
  <definedNames>
    <definedName name="_xlnm._FilterDatabase" localSheetId="1" hidden="1">WBS!$A$1:$E$391</definedName>
  </definedNames>
  <calcPr calcId="191029" iterateDelta="1E-4"/>
  <pivotCaches>
    <pivotCache cacheId="9" r:id="rId4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76" i="2" l="1"/>
  <c r="D332" i="2"/>
  <c r="C8" i="4"/>
  <c r="C7" i="4"/>
  <c r="C6" i="4"/>
  <c r="C5" i="4"/>
  <c r="C4" i="4"/>
  <c r="C9" i="4" l="1"/>
  <c r="D388" i="2"/>
  <c r="D384" i="2" s="1"/>
  <c r="D380" i="2" s="1"/>
  <c r="D372" i="2" s="1"/>
  <c r="D368" i="2" s="1"/>
  <c r="D364" i="2" s="1"/>
  <c r="D360" i="2" s="1"/>
  <c r="D356" i="2" s="1"/>
  <c r="D352" i="2" s="1"/>
  <c r="D348" i="2" s="1"/>
  <c r="D344" i="2" s="1"/>
  <c r="D340" i="2" l="1"/>
  <c r="D336" i="2" s="1"/>
  <c r="D328" i="2" s="1"/>
  <c r="D322" i="2" s="1"/>
  <c r="D318" i="2" l="1"/>
  <c r="D313" i="2" s="1"/>
  <c r="D309" i="2" s="1"/>
  <c r="D305" i="2" s="1"/>
  <c r="D301" i="2" s="1"/>
  <c r="D297" i="2" s="1"/>
  <c r="D293" i="2" s="1"/>
  <c r="D289" i="2" s="1"/>
  <c r="D285" i="2" s="1"/>
  <c r="D279" i="2" l="1"/>
  <c r="D275" i="2" s="1"/>
  <c r="D270" i="2" s="1"/>
  <c r="D265" i="2" s="1"/>
  <c r="D260" i="2" s="1"/>
  <c r="D255" i="2" s="1"/>
  <c r="D284" i="2"/>
  <c r="D250" i="2"/>
  <c r="D246" i="2" s="1"/>
  <c r="D241" i="2" s="1"/>
  <c r="D236" i="2" s="1"/>
  <c r="D231" i="2" s="1"/>
  <c r="D226" i="2" s="1"/>
  <c r="D221" i="2" s="1"/>
  <c r="D216" i="2" s="1"/>
  <c r="D210" i="2" s="1"/>
  <c r="D206" i="2" s="1"/>
  <c r="D201" i="2" s="1"/>
  <c r="D197" i="2" s="1"/>
  <c r="D192" i="2" s="1"/>
  <c r="D187" i="2" l="1"/>
  <c r="D182" i="2" s="1"/>
  <c r="D177" i="2" s="1"/>
  <c r="D172" i="2" s="1"/>
  <c r="D167" i="2" s="1"/>
  <c r="D162" i="2" s="1"/>
  <c r="D157" i="2" s="1"/>
  <c r="D152" i="2" s="1"/>
  <c r="D147" i="2" s="1"/>
  <c r="D142" i="2" s="1"/>
  <c r="D137" i="2" s="1"/>
  <c r="D132" i="2" s="1"/>
  <c r="D128" i="2" s="1"/>
  <c r="D123" i="2" s="1"/>
  <c r="D119" i="2" s="1"/>
  <c r="D114" i="2" s="1"/>
  <c r="D109" i="2" s="1"/>
  <c r="D104" i="2" s="1"/>
  <c r="D99" i="2" s="1"/>
  <c r="D94" i="2" s="1"/>
  <c r="D89" i="2" s="1"/>
  <c r="D84" i="2" s="1"/>
  <c r="D79" i="2" s="1"/>
  <c r="D74" i="2" s="1"/>
  <c r="D69" i="2" s="1"/>
  <c r="D64" i="2" s="1"/>
  <c r="D59" i="2" s="1"/>
  <c r="D55" i="2" s="1"/>
  <c r="D51" i="2" s="1"/>
  <c r="D47" i="2" s="1"/>
  <c r="D44" i="2" s="1"/>
  <c r="D40" i="2" s="1"/>
  <c r="D36" i="2" s="1"/>
  <c r="D32" i="2" s="1"/>
  <c r="D28" i="2" s="1"/>
  <c r="D327" i="2" s="1"/>
  <c r="C9" i="3" s="1"/>
  <c r="D9" i="3" s="1"/>
  <c r="D24" i="2" l="1"/>
  <c r="D20" i="2" s="1"/>
  <c r="D17" i="2" s="1"/>
  <c r="D14" i="2"/>
  <c r="D11" i="2" s="1"/>
  <c r="D8" i="2" s="1"/>
  <c r="D4" i="2" s="1"/>
  <c r="C8" i="3" l="1"/>
  <c r="D8" i="3" s="1"/>
  <c r="D254" i="2"/>
  <c r="C7" i="3" l="1"/>
  <c r="D7" i="3" s="1"/>
  <c r="D215" i="2" l="1"/>
  <c r="C6" i="3" s="1"/>
  <c r="D6" i="3" s="1"/>
  <c r="D136" i="2"/>
  <c r="C5" i="3" l="1"/>
  <c r="D5" i="3" s="1"/>
  <c r="D88" i="2"/>
  <c r="C4" i="3" l="1"/>
  <c r="D4" i="3" s="1"/>
  <c r="D63" i="2"/>
  <c r="C3" i="3" l="1"/>
  <c r="D3" i="2"/>
  <c r="D2" i="2" s="1"/>
  <c r="C2" i="3" l="1"/>
  <c r="D2" i="3" s="1"/>
  <c r="D3" i="3"/>
  <c r="C10" i="3" l="1"/>
  <c r="D10" i="3" s="1"/>
</calcChain>
</file>

<file path=xl/sharedStrings.xml><?xml version="1.0" encoding="utf-8"?>
<sst xmlns="http://schemas.openxmlformats.org/spreadsheetml/2006/main" count="1595" uniqueCount="511">
  <si>
    <t>Type</t>
  </si>
  <si>
    <t>Task</t>
  </si>
  <si>
    <t>Row Labels</t>
  </si>
  <si>
    <t>Sum of Estimated Hours</t>
  </si>
  <si>
    <t>Parth</t>
  </si>
  <si>
    <t>Ronak</t>
  </si>
  <si>
    <t>Soumy</t>
  </si>
  <si>
    <t>Hardik</t>
  </si>
  <si>
    <t>Grand Total</t>
  </si>
  <si>
    <t>WBS ID</t>
  </si>
  <si>
    <t>Task Name</t>
  </si>
  <si>
    <t>Estimated Hours</t>
  </si>
  <si>
    <t>Developer</t>
  </si>
  <si>
    <t>1</t>
  </si>
  <si>
    <t>HIMAPP 2.0 — PLANT &amp; MACHINERY (PM) MODULE — Implementation</t>
  </si>
  <si>
    <t>Project</t>
  </si>
  <si>
    <t>1.1</t>
  </si>
  <si>
    <t xml:space="preserve">    Epic 1: Equipment Management</t>
  </si>
  <si>
    <t>Epic</t>
  </si>
  <si>
    <t>1.1.1</t>
  </si>
  <si>
    <t xml:space="preserve">        PNM-001: Sync Equipment Master from D365</t>
  </si>
  <si>
    <t>User Story</t>
  </si>
  <si>
    <t>1.1.1.1</t>
  </si>
  <si>
    <t xml:space="preserve">            Database</t>
  </si>
  <si>
    <t>1.1.1.2</t>
  </si>
  <si>
    <t xml:space="preserve">            Backend API</t>
  </si>
  <si>
    <t>1.1.1.3</t>
  </si>
  <si>
    <t xml:space="preserve">            Web Front End</t>
  </si>
  <si>
    <t>1.1.2</t>
  </si>
  <si>
    <t xml:space="preserve">        PNM-002: View Equipment List (Equipment 360)</t>
  </si>
  <si>
    <t>1.1.2.1</t>
  </si>
  <si>
    <t>1.1.2.2</t>
  </si>
  <si>
    <t>1.1.3</t>
  </si>
  <si>
    <t xml:space="preserve">        PNM-003: Search Equipment</t>
  </si>
  <si>
    <t>1.1.3.1</t>
  </si>
  <si>
    <t>1.1.3.2</t>
  </si>
  <si>
    <t>1.1.4</t>
  </si>
  <si>
    <t xml:space="preserve">        PNM-004: View Equipment Detail — Overview Tab</t>
  </si>
  <si>
    <t>1.1.4.1</t>
  </si>
  <si>
    <t>1.1.4.2</t>
  </si>
  <si>
    <t>1.1.5</t>
  </si>
  <si>
    <t xml:space="preserve">        PNM-005: View Equipment Lifecycle History</t>
  </si>
  <si>
    <t>1.1.5.1</t>
  </si>
  <si>
    <t>1.1.5.2</t>
  </si>
  <si>
    <t>1.1.6</t>
  </si>
  <si>
    <t xml:space="preserve">        PNM-006: Assign Equipment to Project (Initial Assignment)</t>
  </si>
  <si>
    <t>1.1.6.1</t>
  </si>
  <si>
    <t>1.1.6.2</t>
  </si>
  <si>
    <t>1.1.6.3</t>
  </si>
  <si>
    <t>1.1.7</t>
  </si>
  <si>
    <t xml:space="preserve">        PNM-008: Raise Equipment Condition Report (ECR) — Sender</t>
  </si>
  <si>
    <t>1.1.7.1</t>
  </si>
  <si>
    <t>1.1.7.2</t>
  </si>
  <si>
    <t>1.1.7.3</t>
  </si>
  <si>
    <t>1.1.8</t>
  </si>
  <si>
    <t xml:space="preserve">        PNM-009: Auto-Cancel Open Spare MRIS on Transfer Completion</t>
  </si>
  <si>
    <t>1.1.8.1</t>
  </si>
  <si>
    <t>1.1.8.2</t>
  </si>
  <si>
    <t>1.1.8.3</t>
  </si>
  <si>
    <t>1.1.9</t>
  </si>
  <si>
    <t xml:space="preserve">        PNM-010: Acknowledge Incoming Equipment — Receiver ECR</t>
  </si>
  <si>
    <t>1.1.9.1</t>
  </si>
  <si>
    <t>1.1.9.2</t>
  </si>
  <si>
    <t>1.1.9.3</t>
  </si>
  <si>
    <t>1.1.10</t>
  </si>
  <si>
    <t xml:space="preserve">        PNM-011: Auto-Complete Equipment Transfer</t>
  </si>
  <si>
    <t>1.1.10.1</t>
  </si>
  <si>
    <t>1.1.10.2</t>
  </si>
  <si>
    <t>1.1.10.3</t>
  </si>
  <si>
    <t>1.1.11</t>
  </si>
  <si>
    <t xml:space="preserve">        PNM-012: Resolve ECR Dispute</t>
  </si>
  <si>
    <t>1.1.11.1</t>
  </si>
  <si>
    <t>1.1.11.2</t>
  </si>
  <si>
    <t>1.1.11.3</t>
  </si>
  <si>
    <t>1.1.12</t>
  </si>
  <si>
    <t xml:space="preserve">        PNM-013: View Transfers (ECR) List</t>
  </si>
  <si>
    <t>1.1.12.1</t>
  </si>
  <si>
    <t>1.1.12.2</t>
  </si>
  <si>
    <t>1.1.13</t>
  </si>
  <si>
    <t xml:space="preserve">        PNM-014: Raise Gate Pass for Off-Site Repair</t>
  </si>
  <si>
    <t>1.1.13.1</t>
  </si>
  <si>
    <t>1.1.13.2</t>
  </si>
  <si>
    <t>1.1.13.3</t>
  </si>
  <si>
    <t>1.1.14</t>
  </si>
  <si>
    <t xml:space="preserve">        PNM-015: Record Gate Pass Return</t>
  </si>
  <si>
    <t>1.1.14.1</t>
  </si>
  <si>
    <t>1.1.14.2</t>
  </si>
  <si>
    <t>1.1.14.3</t>
  </si>
  <si>
    <t>1.1.15</t>
  </si>
  <si>
    <t xml:space="preserve">        PNM-016: Record Meter Replacement</t>
  </si>
  <si>
    <t>1.1.15.1</t>
  </si>
  <si>
    <t>1.1.15.2</t>
  </si>
  <si>
    <t>1.1.15.3</t>
  </si>
  <si>
    <t>1.1.16</t>
  </si>
  <si>
    <t xml:space="preserve">        PNM-017: View Equipment Availability / Dashboard Widgets</t>
  </si>
  <si>
    <t>1.1.16.1</t>
  </si>
  <si>
    <t>1.1.16.2</t>
  </si>
  <si>
    <t>1.1.16.3</t>
  </si>
  <si>
    <t xml:space="preserve">            Mobile</t>
  </si>
  <si>
    <t>1.2</t>
  </si>
  <si>
    <t xml:space="preserve">    Epic 2: Daily Equipment Checklist</t>
  </si>
  <si>
    <t>1.2.1</t>
  </si>
  <si>
    <t xml:space="preserve">        PNM-018: Configure Checklist Template per Equipment Category</t>
  </si>
  <si>
    <t>1.2.1.1</t>
  </si>
  <si>
    <t>1.2.1.2</t>
  </si>
  <si>
    <t>1.2.1.3</t>
  </si>
  <si>
    <t>1.2.1.4</t>
  </si>
  <si>
    <t>1.2.2</t>
  </si>
  <si>
    <t xml:space="preserve">        PNM-019: Submit Daily Equipment Checklist</t>
  </si>
  <si>
    <t>1.2.2.1</t>
  </si>
  <si>
    <t>1.2.2.2</t>
  </si>
  <si>
    <t>1.2.2.3</t>
  </si>
  <si>
    <t>1.2.2.4</t>
  </si>
  <si>
    <t>1.2.3</t>
  </si>
  <si>
    <t xml:space="preserve">        PNM-020: Trigger Safety Notification on Not-OK Safety-Flagged Item</t>
  </si>
  <si>
    <t>1.2.3.1</t>
  </si>
  <si>
    <t>1.2.3.2</t>
  </si>
  <si>
    <t>1.2.3.3</t>
  </si>
  <si>
    <t>1.2.3.4</t>
  </si>
  <si>
    <t>1.2.4</t>
  </si>
  <si>
    <t xml:space="preserve">        PNM-021: Prompt to Raise Breakdown SR on Failed Checklist Item</t>
  </si>
  <si>
    <t>1.2.4.1</t>
  </si>
  <si>
    <t>1.2.4.2</t>
  </si>
  <si>
    <t>1.2.4.3</t>
  </si>
  <si>
    <t>1.2.4.4</t>
  </si>
  <si>
    <t>1.2.5</t>
  </si>
  <si>
    <t xml:space="preserve">        PNM-022: View Checklist History</t>
  </si>
  <si>
    <t>1.2.5.1</t>
  </si>
  <si>
    <t>1.2.5.2</t>
  </si>
  <si>
    <t>1.2.5.3</t>
  </si>
  <si>
    <t>1.3</t>
  </si>
  <si>
    <t xml:space="preserve">    Epic 3: Digital Log Book</t>
  </si>
  <si>
    <t>1.3.1</t>
  </si>
  <si>
    <t xml:space="preserve">        PNM-023: Claim Equipment Ownership via First Fill</t>
  </si>
  <si>
    <t>1.3.1.1</t>
  </si>
  <si>
    <t>1.3.1.2</t>
  </si>
  <si>
    <t>1.3.1.3</t>
  </si>
  <si>
    <t>1.3.1.4</t>
  </si>
  <si>
    <t>1.3.2</t>
  </si>
  <si>
    <t xml:space="preserve">        PNM-024: Transfer Equipment Ownership</t>
  </si>
  <si>
    <t>1.3.2.1</t>
  </si>
  <si>
    <t>1.3.2.2</t>
  </si>
  <si>
    <t>1.3.2.3</t>
  </si>
  <si>
    <t>1.3.2.4</t>
  </si>
  <si>
    <t>1.3.3</t>
  </si>
  <si>
    <t xml:space="preserve">        PNM-025: Override Equipment Ownership (In-Charge)</t>
  </si>
  <si>
    <t>1.3.3.1</t>
  </si>
  <si>
    <t>1.3.3.2</t>
  </si>
  <si>
    <t>1.3.3.3</t>
  </si>
  <si>
    <t>1.3.3.4</t>
  </si>
  <si>
    <t>1.3.4</t>
  </si>
  <si>
    <t xml:space="preserve">        PNM-026: Notify on No Owner by Cutoff</t>
  </si>
  <si>
    <t>1.3.4.1</t>
  </si>
  <si>
    <t>1.3.4.2</t>
  </si>
  <si>
    <t>1.3.4.3</t>
  </si>
  <si>
    <t>1.3.4.4</t>
  </si>
  <si>
    <t>1.3.5</t>
  </si>
  <si>
    <t xml:space="preserve">        PNM-027: Non-Submission Notification &amp; Escalation Schedule</t>
  </si>
  <si>
    <t>1.3.5.1</t>
  </si>
  <si>
    <t>1.3.5.2</t>
  </si>
  <si>
    <t>1.3.5.3</t>
  </si>
  <si>
    <t>1.3.5.4</t>
  </si>
  <si>
    <t>1.3.6</t>
  </si>
  <si>
    <t xml:space="preserve">        PNM-028: Submit Digital Log Book Entry</t>
  </si>
  <si>
    <t>1.3.6.1</t>
  </si>
  <si>
    <t>1.3.6.2</t>
  </si>
  <si>
    <t>1.3.6.3</t>
  </si>
  <si>
    <t>1.3.6.4</t>
  </si>
  <si>
    <t>1.3.7</t>
  </si>
  <si>
    <t xml:space="preserve">        PNM-029: View Equipment Context Panel on Log Book</t>
  </si>
  <si>
    <t>1.3.7.1</t>
  </si>
  <si>
    <t>1.3.7.2</t>
  </si>
  <si>
    <t>1.3.7.3</t>
  </si>
  <si>
    <t>1.3.8</t>
  </si>
  <si>
    <t xml:space="preserve">        PNM-030: Evaluate PM Triggers After Log Book Submission</t>
  </si>
  <si>
    <t>1.3.8.1</t>
  </si>
  <si>
    <t>1.3.8.2</t>
  </si>
  <si>
    <t>1.3.8.3</t>
  </si>
  <si>
    <t>1.3.8.4</t>
  </si>
  <si>
    <t>1.3.9</t>
  </si>
  <si>
    <t xml:space="preserve">        PNM-031: View Log Book History</t>
  </si>
  <si>
    <t>1.3.9.1</t>
  </si>
  <si>
    <t>1.3.9.2</t>
  </si>
  <si>
    <t>1.3.9.3</t>
  </si>
  <si>
    <t>1.3.10</t>
  </si>
  <si>
    <t xml:space="preserve">        PNM-032: View Checklist &amp; Log Book Compliance Dashboard</t>
  </si>
  <si>
    <t>1.3.10.1</t>
  </si>
  <si>
    <t>1.3.10.2</t>
  </si>
  <si>
    <t>1.3.10.3</t>
  </si>
  <si>
    <t>1.4</t>
  </si>
  <si>
    <t xml:space="preserve">    Epic 4: Breakdown Management</t>
  </si>
  <si>
    <t>1.4.1</t>
  </si>
  <si>
    <t xml:space="preserve">        PNM-033: Raise Breakdown Service Request</t>
  </si>
  <si>
    <t>1.4.1.1</t>
  </si>
  <si>
    <t>1.4.1.2</t>
  </si>
  <si>
    <t>1.4.1.3</t>
  </si>
  <si>
    <t>1.4.1.4</t>
  </si>
  <si>
    <t>1.4.2</t>
  </si>
  <si>
    <t xml:space="preserve">        PNM-034: Auto-Classify Breakdown Priority</t>
  </si>
  <si>
    <t>1.4.2.1</t>
  </si>
  <si>
    <t>1.4.2.2</t>
  </si>
  <si>
    <t>1.4.2.3</t>
  </si>
  <si>
    <t>1.4.2.4</t>
  </si>
  <si>
    <t>1.4.3</t>
  </si>
  <si>
    <t xml:space="preserve">        PNM-035: Assign Mechanic to Breakdown SR</t>
  </si>
  <si>
    <t>1.4.3.1</t>
  </si>
  <si>
    <t>1.4.3.2</t>
  </si>
  <si>
    <t>1.4.3.3</t>
  </si>
  <si>
    <t>1.4.3.4</t>
  </si>
  <si>
    <t>1.4.4</t>
  </si>
  <si>
    <t xml:space="preserve">        PNM-036: Reassign Mechanic on Breakdown SR</t>
  </si>
  <si>
    <t>1.4.4.1</t>
  </si>
  <si>
    <t>1.4.4.2</t>
  </si>
  <si>
    <t>1.4.4.3</t>
  </si>
  <si>
    <t>1.4.4.4</t>
  </si>
  <si>
    <t>1.4.5</t>
  </si>
  <si>
    <t xml:space="preserve">        PNM-037: Start Work on Breakdown SR</t>
  </si>
  <si>
    <t>1.4.5.1</t>
  </si>
  <si>
    <t>1.4.5.2</t>
  </si>
  <si>
    <t>1.4.5.3</t>
  </si>
  <si>
    <t>1.4.5.4</t>
  </si>
  <si>
    <t>1.4.6</t>
  </si>
  <si>
    <t xml:space="preserve">        PNM-038: Record BD SR Diagnosis</t>
  </si>
  <si>
    <t>1.4.6.1</t>
  </si>
  <si>
    <t>1.4.6.2</t>
  </si>
  <si>
    <t>1.4.6.3</t>
  </si>
  <si>
    <t>1.4.6.4</t>
  </si>
  <si>
    <t>1.4.7</t>
  </si>
  <si>
    <t xml:space="preserve">        PNM-039: Raise Spare Parts MRIS from Breakdown SR</t>
  </si>
  <si>
    <t>1.4.7.1</t>
  </si>
  <si>
    <t>1.4.7.2</t>
  </si>
  <si>
    <t>1.4.7.3</t>
  </si>
  <si>
    <t>1.4.7.4</t>
  </si>
  <si>
    <t>1.4.8</t>
  </si>
  <si>
    <t xml:space="preserve">        PNM-040: Resume Breakdown SR from On Hold</t>
  </si>
  <si>
    <t>1.4.8.1</t>
  </si>
  <si>
    <t>1.4.8.2</t>
  </si>
  <si>
    <t>1.4.8.3</t>
  </si>
  <si>
    <t>1.4.8.4</t>
  </si>
  <si>
    <t>1.4.9</t>
  </si>
  <si>
    <t xml:space="preserve">        PNM-041: Resolve Breakdown SR</t>
  </si>
  <si>
    <t>1.4.9.1</t>
  </si>
  <si>
    <t>1.4.9.2</t>
  </si>
  <si>
    <t>1.4.9.3</t>
  </si>
  <si>
    <t>1.4.9.4</t>
  </si>
  <si>
    <t>1.4.10</t>
  </si>
  <si>
    <t xml:space="preserve">        PNM-042: Capture Maintenance Activities During Breakdown Repair (PM Counter Sync)</t>
  </si>
  <si>
    <t>1.4.10.1</t>
  </si>
  <si>
    <t>1.4.10.2</t>
  </si>
  <si>
    <t>1.4.10.3</t>
  </si>
  <si>
    <t>1.4.10.4</t>
  </si>
  <si>
    <t>1.4.11</t>
  </si>
  <si>
    <t xml:space="preserve">        PNM-043: Confirm Fix and Close Breakdown SR</t>
  </si>
  <si>
    <t>1.4.11.1</t>
  </si>
  <si>
    <t>1.4.11.2</t>
  </si>
  <si>
    <t>1.4.11.3</t>
  </si>
  <si>
    <t>1.4.11.4</t>
  </si>
  <si>
    <t>1.4.12</t>
  </si>
  <si>
    <t xml:space="preserve">        PNM-044: Reopen Breakdown SR</t>
  </si>
  <si>
    <t>1.4.12.1</t>
  </si>
  <si>
    <t>1.4.12.2</t>
  </si>
  <si>
    <t>1.4.12.3</t>
  </si>
  <si>
    <t>1.4.12.4</t>
  </si>
  <si>
    <t>1.4.13</t>
  </si>
  <si>
    <t xml:space="preserve">        PNM-045: View Breakdown SR Timeline / Activity Log</t>
  </si>
  <si>
    <t>1.4.13.1</t>
  </si>
  <si>
    <t>1.4.13.2</t>
  </si>
  <si>
    <t>1.4.13.3</t>
  </si>
  <si>
    <t>1.4.14</t>
  </si>
  <si>
    <t xml:space="preserve">        PNM-046: Attach Photos to Breakdown SR</t>
  </si>
  <si>
    <t>1.4.14.1</t>
  </si>
  <si>
    <t>1.4.14.2</t>
  </si>
  <si>
    <t>1.4.14.3</t>
  </si>
  <si>
    <t>1.4.14.4</t>
  </si>
  <si>
    <t>1.4.15</t>
  </si>
  <si>
    <t xml:space="preserve">        PNM-047: Search and Filter Breakdown SR List</t>
  </si>
  <si>
    <t>1.4.15.1</t>
  </si>
  <si>
    <t>1.4.15.2</t>
  </si>
  <si>
    <t>1.4.15.3</t>
  </si>
  <si>
    <t>1.4.16</t>
  </si>
  <si>
    <t xml:space="preserve">        PNM-048: Flag and Alert on SR Ageing</t>
  </si>
  <si>
    <t>1.4.16.1</t>
  </si>
  <si>
    <t>1.4.16.2</t>
  </si>
  <si>
    <t>1.4.16.3</t>
  </si>
  <si>
    <t>1.4.16.4</t>
  </si>
  <si>
    <t>1.5</t>
  </si>
  <si>
    <t xml:space="preserve">    Epic 5: Preventive Maintenance</t>
  </si>
  <si>
    <t>1.5.1</t>
  </si>
  <si>
    <t xml:space="preserve">        PNM-049: Auto-Generate PM Service Request</t>
  </si>
  <si>
    <t>1.5.1.1</t>
  </si>
  <si>
    <t>1.5.1.2</t>
  </si>
  <si>
    <t>1.5.1.3</t>
  </si>
  <si>
    <t>1.5.1.4</t>
  </si>
  <si>
    <t>1.5.2</t>
  </si>
  <si>
    <t xml:space="preserve">        PNM-050: Manually Create PM Service Request</t>
  </si>
  <si>
    <t>1.5.2.1</t>
  </si>
  <si>
    <t>1.5.2.2</t>
  </si>
  <si>
    <t>1.5.2.3</t>
  </si>
  <si>
    <t>1.5.2.4</t>
  </si>
  <si>
    <t>1.5.3</t>
  </si>
  <si>
    <t xml:space="preserve">        PNM-051: Assign Mechanic to PM SR</t>
  </si>
  <si>
    <t>1.5.3.1</t>
  </si>
  <si>
    <t>1.5.3.2</t>
  </si>
  <si>
    <t>1.5.3.3</t>
  </si>
  <si>
    <t>1.5.3.4</t>
  </si>
  <si>
    <t>1.5.4</t>
  </si>
  <si>
    <t xml:space="preserve">        PNM-052: Execute PM Checklist and Mark Item Outcomes</t>
  </si>
  <si>
    <t>1.5.4.1</t>
  </si>
  <si>
    <t>1.5.4.2</t>
  </si>
  <si>
    <t>1.5.4.3</t>
  </si>
  <si>
    <t>1.5.4.4</t>
  </si>
  <si>
    <t>1.5.5</t>
  </si>
  <si>
    <t xml:space="preserve">        PNM-053: Review and Decide on PM Item Deferrals at Closure</t>
  </si>
  <si>
    <t>1.5.5.1</t>
  </si>
  <si>
    <t>1.5.5.2</t>
  </si>
  <si>
    <t>1.5.5.3</t>
  </si>
  <si>
    <t>1.5.5.4</t>
  </si>
  <si>
    <t>1.5.6</t>
  </si>
  <si>
    <t xml:space="preserve">        PNM-054: Close Preventive Maintenance SR</t>
  </si>
  <si>
    <t>1.5.6.1</t>
  </si>
  <si>
    <t>1.5.6.2</t>
  </si>
  <si>
    <t>1.5.6.3</t>
  </si>
  <si>
    <t>1.5.6.4</t>
  </si>
  <si>
    <t>1.5.7</t>
  </si>
  <si>
    <t xml:space="preserve">        PNM-055: View PM Schedule and Compliance Status</t>
  </si>
  <si>
    <t>1.5.7.1</t>
  </si>
  <si>
    <t>1.5.7.2</t>
  </si>
  <si>
    <t>1.5.7.3</t>
  </si>
  <si>
    <t>1.5.8</t>
  </si>
  <si>
    <t xml:space="preserve">        PNM-056: View PM History</t>
  </si>
  <si>
    <t>1.5.8.1</t>
  </si>
  <si>
    <t>1.5.8.2</t>
  </si>
  <si>
    <t>1.5.8.3</t>
  </si>
  <si>
    <t>1.6.1</t>
  </si>
  <si>
    <t>1.6.1.1</t>
  </si>
  <si>
    <t>1.6.1.2</t>
  </si>
  <si>
    <t>1.6.1.3</t>
  </si>
  <si>
    <t>1.6.1.4</t>
  </si>
  <si>
    <t>1.6.2</t>
  </si>
  <si>
    <t>1.6.2.1</t>
  </si>
  <si>
    <t>1.6.2.2</t>
  </si>
  <si>
    <t>1.6.2.3</t>
  </si>
  <si>
    <t>1.6.2.4</t>
  </si>
  <si>
    <t>1.6.3</t>
  </si>
  <si>
    <t>1.6.3.1</t>
  </si>
  <si>
    <t>1.6.3.2</t>
  </si>
  <si>
    <t>1.6.3.3</t>
  </si>
  <si>
    <t>1.6.3.4</t>
  </si>
  <si>
    <t>1.6.4</t>
  </si>
  <si>
    <t>1.6.4.1</t>
  </si>
  <si>
    <t>1.6.4.2</t>
  </si>
  <si>
    <t>1.6.4.3</t>
  </si>
  <si>
    <t>1.6.4.4</t>
  </si>
  <si>
    <t>1.6.5</t>
  </si>
  <si>
    <t>1.6.5.1</t>
  </si>
  <si>
    <t>1.6.5.2</t>
  </si>
  <si>
    <t>1.6.5.3</t>
  </si>
  <si>
    <t>1.6.6</t>
  </si>
  <si>
    <t>1.6.6.1</t>
  </si>
  <si>
    <t>1.6.6.2</t>
  </si>
  <si>
    <t>1.6.6.3</t>
  </si>
  <si>
    <t>1.7.1</t>
  </si>
  <si>
    <t>1.7.1.1</t>
  </si>
  <si>
    <t>1.7.1.2</t>
  </si>
  <si>
    <t>1.7.1.3</t>
  </si>
  <si>
    <t>1.7.2</t>
  </si>
  <si>
    <t>1.7.2.1</t>
  </si>
  <si>
    <t>1.7.2.2</t>
  </si>
  <si>
    <t>1.7.2.3</t>
  </si>
  <si>
    <t>1.7.3</t>
  </si>
  <si>
    <t>1.7.3.1</t>
  </si>
  <si>
    <t>1.7.3.2</t>
  </si>
  <si>
    <t>1.7.3.3</t>
  </si>
  <si>
    <t>1.7.4</t>
  </si>
  <si>
    <t>1.7.4.1</t>
  </si>
  <si>
    <t>1.7.4.2</t>
  </si>
  <si>
    <t>1.7.4.3</t>
  </si>
  <si>
    <t>1.7.5</t>
  </si>
  <si>
    <t>1.7.6</t>
  </si>
  <si>
    <t>1.8</t>
  </si>
  <si>
    <t xml:space="preserve">    Epic 8: Spare Parts MRIS</t>
  </si>
  <si>
    <t xml:space="preserve">        PNM-069: Select Spare Parts for SR-Linked MRIS</t>
  </si>
  <si>
    <t xml:space="preserve">        PNM-070: Approve Spare Parts MRIS</t>
  </si>
  <si>
    <t xml:space="preserve">        PNM-071: Issue Material Against Spare Parts MRIS</t>
  </si>
  <si>
    <t xml:space="preserve">        PNM-072: Acknowledge Spare Parts Receipt</t>
  </si>
  <si>
    <t xml:space="preserve">        PNM-073: View Spare Parts Consumption History</t>
  </si>
  <si>
    <t xml:space="preserve">        PNM-074: Auto-Cancel Spare MRIS on Equipment Transfer</t>
  </si>
  <si>
    <t>1.9</t>
  </si>
  <si>
    <t xml:space="preserve">    Epic 9: Reports &amp; Analytics</t>
  </si>
  <si>
    <t xml:space="preserve">        PNM-076: View Equipment Utilization Report</t>
  </si>
  <si>
    <t xml:space="preserve">        PNM-077: View Downtime Report (Total, MTTR, Net Repair Time, Hold Breakdown)</t>
  </si>
  <si>
    <t xml:space="preserve">        PNM-078: View Breakdown Reports</t>
  </si>
  <si>
    <t xml:space="preserve">        PNM-079: View PM Reports (Adherence &amp; Deferral Summary)</t>
  </si>
  <si>
    <t xml:space="preserve">        PNM-080: View Fuel Consumption Report</t>
  </si>
  <si>
    <t xml:space="preserve">        PNM-081: View Spare Parts Consumption Report</t>
  </si>
  <si>
    <t xml:space="preserve">        PNM-082: View Idle Equipment Report</t>
  </si>
  <si>
    <t xml:space="preserve">        PNM-083: Detect and Report Recurring Failures</t>
  </si>
  <si>
    <t xml:space="preserve">        PNM-084: View Mechanic Performance Report</t>
  </si>
  <si>
    <t xml:space="preserve">        PNM-085: Export and Print Reports</t>
  </si>
  <si>
    <t>1.10</t>
  </si>
  <si>
    <t xml:space="preserve">    Epic 10: Masters</t>
  </si>
  <si>
    <t>1.10.1</t>
  </si>
  <si>
    <t xml:space="preserve">        PNM-086: Configure Maintenance Activity Details Master</t>
  </si>
  <si>
    <t>1.10.1.1</t>
  </si>
  <si>
    <t>1.10.1.2</t>
  </si>
  <si>
    <t>1.10.1.3</t>
  </si>
  <si>
    <t>1.10.2</t>
  </si>
  <si>
    <t xml:space="preserve">        PNM-087: Configure Equipment Checklist Points Master</t>
  </si>
  <si>
    <t>1.10.2.1</t>
  </si>
  <si>
    <t>1.10.2.2</t>
  </si>
  <si>
    <t>1.10.2.3</t>
  </si>
  <si>
    <t>1.10.3</t>
  </si>
  <si>
    <t xml:space="preserve">        PNM-088: Configure Breakdown Reason Codes Master</t>
  </si>
  <si>
    <t>1.10.3.1</t>
  </si>
  <si>
    <t>1.10.3.2</t>
  </si>
  <si>
    <t>1.10.3.3</t>
  </si>
  <si>
    <t>1.10.4</t>
  </si>
  <si>
    <t xml:space="preserve">        PNM-089: Configure Sub-Part Names Master</t>
  </si>
  <si>
    <t>1.10.4.1</t>
  </si>
  <si>
    <t>1.10.4.2</t>
  </si>
  <si>
    <t>1.10.4.3</t>
  </si>
  <si>
    <t>1.10.5</t>
  </si>
  <si>
    <t xml:space="preserve">        PNM-090: Configure In-house Maintenance Remarks Master</t>
  </si>
  <si>
    <t>1.10.5.1</t>
  </si>
  <si>
    <t>1.10.5.2</t>
  </si>
  <si>
    <t>1.10.5.3</t>
  </si>
  <si>
    <t>1.10.6</t>
  </si>
  <si>
    <t xml:space="preserve">        PNM-091: Configure Specification Field Definitions Master</t>
  </si>
  <si>
    <t>1.10.6.1</t>
  </si>
  <si>
    <t>1.10.6.2</t>
  </si>
  <si>
    <t>1.10.6.3</t>
  </si>
  <si>
    <t>1.10.7</t>
  </si>
  <si>
    <t xml:space="preserve">        PNM-092: Configure Work Description Types Master</t>
  </si>
  <si>
    <t>1.10.7.1</t>
  </si>
  <si>
    <t>1.10.7.2</t>
  </si>
  <si>
    <t>1.10.7.3</t>
  </si>
  <si>
    <t>1.10.8</t>
  </si>
  <si>
    <t xml:space="preserve">        PNM-093: Configure Failure Type Master</t>
  </si>
  <si>
    <t>1.10.8.1</t>
  </si>
  <si>
    <t>1.10.8.2</t>
  </si>
  <si>
    <t>1.10.8.3</t>
  </si>
  <si>
    <t>1.10.9</t>
  </si>
  <si>
    <t xml:space="preserve">        PNM-094: Configure Sub-System Master</t>
  </si>
  <si>
    <t>1.10.9.1</t>
  </si>
  <si>
    <t>1.10.9.2</t>
  </si>
  <si>
    <t>1.10.9.3</t>
  </si>
  <si>
    <t>1.10.10</t>
  </si>
  <si>
    <t xml:space="preserve">        PNM-095: Configure Location Master</t>
  </si>
  <si>
    <t>1.10.10.1</t>
  </si>
  <si>
    <t>1.10.10.2</t>
  </si>
  <si>
    <t>1.10.10.3</t>
  </si>
  <si>
    <t>1.10.11</t>
  </si>
  <si>
    <t xml:space="preserve">        PNM-096: Configure Fuel Type Master</t>
  </si>
  <si>
    <t>1.10.11.1</t>
  </si>
  <si>
    <t>1.10.11.2</t>
  </si>
  <si>
    <t>1.10.11.3</t>
  </si>
  <si>
    <t>1.10.12</t>
  </si>
  <si>
    <t xml:space="preserve">        PNM-097: Configure Material / Spare Parts Catalogue</t>
  </si>
  <si>
    <t>1.10.12.1</t>
  </si>
  <si>
    <t>1.10.12.2</t>
  </si>
  <si>
    <t>1.10.12.3</t>
  </si>
  <si>
    <t>1.10.13</t>
  </si>
  <si>
    <t xml:space="preserve">        PNM-098: Configure PM Schedule Master</t>
  </si>
  <si>
    <t>1.10.13.1</t>
  </si>
  <si>
    <t>1.10.13.2</t>
  </si>
  <si>
    <t>1.10.13.3</t>
  </si>
  <si>
    <t>1.10.14</t>
  </si>
  <si>
    <t xml:space="preserve">        PNM-099: Configure Opening Counter Readings (Equipment-Level)</t>
  </si>
  <si>
    <t>1.10.14.1</t>
  </si>
  <si>
    <t>1.10.14.2</t>
  </si>
  <si>
    <t>1.10.14.3</t>
  </si>
  <si>
    <t>1.10.15</t>
  </si>
  <si>
    <t xml:space="preserve">        PNM-100: Configure Maintenance Points (Equipment-Level)</t>
  </si>
  <si>
    <t>1.10.15.1</t>
  </si>
  <si>
    <t>1.10.15.2</t>
  </si>
  <si>
    <t>1.10.15.3</t>
  </si>
  <si>
    <t>1.10.16</t>
  </si>
  <si>
    <t xml:space="preserve">        PNM-101: Configure Sub-Part Details and Specification Values (Equipment-Level)</t>
  </si>
  <si>
    <t>1.10.16.1</t>
  </si>
  <si>
    <t>1.10.16.2</t>
  </si>
  <si>
    <t>1.10.16.3</t>
  </si>
  <si>
    <t>Days</t>
  </si>
  <si>
    <t xml:space="preserve">    Total</t>
  </si>
  <si>
    <t xml:space="preserve">    Epic 8: Fuel/Spare Parts MRIS</t>
  </si>
  <si>
    <t>1.6.6.4</t>
  </si>
  <si>
    <t>1.7.7</t>
  </si>
  <si>
    <t>1.7.8</t>
  </si>
  <si>
    <t>1.7.9</t>
  </si>
  <si>
    <t>1.7.10</t>
  </si>
  <si>
    <t>1.7.5.1</t>
  </si>
  <si>
    <t>1.7.5.2</t>
  </si>
  <si>
    <t>1.7.5.3</t>
  </si>
  <si>
    <t>1.7.6.1</t>
  </si>
  <si>
    <t>1.7.6.2</t>
  </si>
  <si>
    <t>1.7.6.3</t>
  </si>
  <si>
    <t>1.7.7.1</t>
  </si>
  <si>
    <t>1.7.7.2</t>
  </si>
  <si>
    <t>1.7.7.3</t>
  </si>
  <si>
    <t>1.7.8.1</t>
  </si>
  <si>
    <t>1.7.8.2</t>
  </si>
  <si>
    <t>1.7.8.3</t>
  </si>
  <si>
    <t>1.7.9.1</t>
  </si>
  <si>
    <t>1.7.9.2</t>
  </si>
  <si>
    <t>1.7.9.3</t>
  </si>
  <si>
    <t>1.7.10.1</t>
  </si>
  <si>
    <t>1.7.10.2</t>
  </si>
  <si>
    <t>1.7.10.3</t>
  </si>
  <si>
    <t>1.7.8.4</t>
  </si>
  <si>
    <t>1.7.10.4</t>
  </si>
  <si>
    <t>Inderjeet</t>
  </si>
  <si>
    <t>Estimation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</si>
</sst>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D9D9D9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2" borderId="0" xfId="0" applyFont="1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5" borderId="2" xfId="0" applyFont="1" applyFill="1" applyBorder="1"/>
    <xf numFmtId="1" fontId="4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Jani" refreshedDate="46209.431022337965" createdVersion="8" refreshedVersion="8" minRefreshableVersion="3" recordCount="390" xr:uid="{4243639A-5624-4081-92C2-954208BADCC3}">
  <cacheSource type="worksheet">
    <worksheetSource ref="A1:E391" sheet="WBS"/>
  </cacheSource>
  <cacheFields count="5">
    <cacheField name="WBS ID" numFmtId="0">
      <sharedItems containsMixedTypes="1" containsNumber="1" minValue="1.6" maxValue="1.7"/>
    </cacheField>
    <cacheField name="Task Name" numFmtId="0">
      <sharedItems/>
    </cacheField>
    <cacheField name="Type" numFmtId="0">
      <sharedItems count="4">
        <s v="Project"/>
        <s v="Epic"/>
        <s v="User Story"/>
        <s v="Task"/>
      </sharedItems>
    </cacheField>
    <cacheField name="Estimated Hours" numFmtId="0">
      <sharedItems containsSemiMixedTypes="0" containsString="0" containsNumber="1" containsInteger="1" minValue="1" maxValue="1045"/>
    </cacheField>
    <cacheField name="Developer" numFmtId="0">
      <sharedItems containsBlank="1" count="7">
        <m/>
        <s v="Developer"/>
        <s v="Parth"/>
        <s v="Soumy"/>
        <s v="Inderjeet"/>
        <s v="Ronak"/>
        <s v="Hardi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s v="1"/>
    <s v="HIMAPP 2.0 — PLANT &amp; MACHINERY (PM) MODULE — Implementation"/>
    <x v="0"/>
    <n v="1045"/>
    <x v="0"/>
  </r>
  <r>
    <s v="1.1"/>
    <s v="    Epic 1: Equipment Management"/>
    <x v="1"/>
    <n v="176"/>
    <x v="0"/>
  </r>
  <r>
    <s v="1.1.1"/>
    <s v="        PNM-001: Sync Equipment Master from D365"/>
    <x v="2"/>
    <n v="15"/>
    <x v="1"/>
  </r>
  <r>
    <s v="1.1.1.1"/>
    <s v="            Database"/>
    <x v="3"/>
    <n v="3"/>
    <x v="2"/>
  </r>
  <r>
    <s v="1.1.1.2"/>
    <s v="            Backend API"/>
    <x v="3"/>
    <n v="6"/>
    <x v="2"/>
  </r>
  <r>
    <s v="1.1.1.3"/>
    <s v="            Web Front End"/>
    <x v="3"/>
    <n v="6"/>
    <x v="3"/>
  </r>
  <r>
    <s v="1.1.2"/>
    <s v="        PNM-002: View Equipment List (Equipment 360)"/>
    <x v="2"/>
    <n v="12"/>
    <x v="1"/>
  </r>
  <r>
    <s v="1.1.2.1"/>
    <s v="            Backend API"/>
    <x v="3"/>
    <n v="6"/>
    <x v="2"/>
  </r>
  <r>
    <s v="1.1.2.2"/>
    <s v="            Web Front End"/>
    <x v="3"/>
    <n v="6"/>
    <x v="3"/>
  </r>
  <r>
    <s v="1.1.3"/>
    <s v="        PNM-003: Search Equipment"/>
    <x v="2"/>
    <n v="8"/>
    <x v="1"/>
  </r>
  <r>
    <s v="1.1.3.1"/>
    <s v="            Backend API"/>
    <x v="3"/>
    <n v="4"/>
    <x v="2"/>
  </r>
  <r>
    <s v="1.1.3.2"/>
    <s v="            Web Front End"/>
    <x v="3"/>
    <n v="4"/>
    <x v="3"/>
  </r>
  <r>
    <s v="1.1.4"/>
    <s v="        PNM-004: View Equipment Detail — Overview Tab"/>
    <x v="2"/>
    <n v="8"/>
    <x v="1"/>
  </r>
  <r>
    <s v="1.1.4.1"/>
    <s v="            Backend API"/>
    <x v="3"/>
    <n v="4"/>
    <x v="2"/>
  </r>
  <r>
    <s v="1.1.4.2"/>
    <s v="            Web Front End"/>
    <x v="3"/>
    <n v="4"/>
    <x v="3"/>
  </r>
  <r>
    <s v="1.1.5"/>
    <s v="        PNM-005: View Equipment Lifecycle History"/>
    <x v="2"/>
    <n v="8"/>
    <x v="1"/>
  </r>
  <r>
    <s v="1.1.5.1"/>
    <s v="            Backend API"/>
    <x v="3"/>
    <n v="4"/>
    <x v="2"/>
  </r>
  <r>
    <s v="1.1.5.2"/>
    <s v="            Web Front End"/>
    <x v="3"/>
    <n v="4"/>
    <x v="3"/>
  </r>
  <r>
    <s v="1.1.6"/>
    <s v="        PNM-006: Assign Equipment to Project (Initial Assignment)"/>
    <x v="2"/>
    <n v="10"/>
    <x v="1"/>
  </r>
  <r>
    <s v="1.1.6.1"/>
    <s v="            Database"/>
    <x v="3"/>
    <n v="2"/>
    <x v="2"/>
  </r>
  <r>
    <s v="1.1.6.2"/>
    <s v="            Backend API"/>
    <x v="3"/>
    <n v="4"/>
    <x v="2"/>
  </r>
  <r>
    <s v="1.1.6.3"/>
    <s v="            Web Front End"/>
    <x v="3"/>
    <n v="4"/>
    <x v="3"/>
  </r>
  <r>
    <s v="1.1.7"/>
    <s v="        PNM-008: Raise Equipment Condition Report (ECR) — Sender"/>
    <x v="2"/>
    <n v="15"/>
    <x v="1"/>
  </r>
  <r>
    <s v="1.1.7.1"/>
    <s v="            Database"/>
    <x v="3"/>
    <n v="3"/>
    <x v="2"/>
  </r>
  <r>
    <s v="1.1.7.2"/>
    <s v="            Backend API"/>
    <x v="3"/>
    <n v="6"/>
    <x v="2"/>
  </r>
  <r>
    <s v="1.1.7.3"/>
    <s v="            Web Front End"/>
    <x v="3"/>
    <n v="6"/>
    <x v="4"/>
  </r>
  <r>
    <s v="1.1.8"/>
    <s v="        PNM-009: Auto-Cancel Open Spare MRIS on Transfer Completion"/>
    <x v="2"/>
    <n v="10"/>
    <x v="1"/>
  </r>
  <r>
    <s v="1.1.8.1"/>
    <s v="            Database"/>
    <x v="3"/>
    <n v="2"/>
    <x v="2"/>
  </r>
  <r>
    <s v="1.1.8.2"/>
    <s v="            Backend API"/>
    <x v="3"/>
    <n v="4"/>
    <x v="2"/>
  </r>
  <r>
    <s v="1.1.8.3"/>
    <s v="            Web Front End"/>
    <x v="3"/>
    <n v="4"/>
    <x v="3"/>
  </r>
  <r>
    <s v="1.1.9"/>
    <s v="        PNM-010: Acknowledge Incoming Equipment — Receiver ECR"/>
    <x v="2"/>
    <n v="15"/>
    <x v="1"/>
  </r>
  <r>
    <s v="1.1.9.1"/>
    <s v="            Database"/>
    <x v="3"/>
    <n v="3"/>
    <x v="2"/>
  </r>
  <r>
    <s v="1.1.9.2"/>
    <s v="            Backend API"/>
    <x v="3"/>
    <n v="6"/>
    <x v="2"/>
  </r>
  <r>
    <s v="1.1.9.3"/>
    <s v="            Web Front End"/>
    <x v="3"/>
    <n v="6"/>
    <x v="4"/>
  </r>
  <r>
    <s v="1.1.10"/>
    <s v="        PNM-011: Auto-Complete Equipment Transfer"/>
    <x v="2"/>
    <n v="10"/>
    <x v="1"/>
  </r>
  <r>
    <s v="1.1.10.1"/>
    <s v="            Database"/>
    <x v="3"/>
    <n v="2"/>
    <x v="2"/>
  </r>
  <r>
    <s v="1.1.10.2"/>
    <s v="            Backend API"/>
    <x v="3"/>
    <n v="4"/>
    <x v="2"/>
  </r>
  <r>
    <s v="1.1.10.3"/>
    <s v="            Web Front End"/>
    <x v="3"/>
    <n v="4"/>
    <x v="3"/>
  </r>
  <r>
    <s v="1.1.11"/>
    <s v="        PNM-012: Resolve ECR Dispute"/>
    <x v="2"/>
    <n v="10"/>
    <x v="1"/>
  </r>
  <r>
    <s v="1.1.11.1"/>
    <s v="            Database"/>
    <x v="3"/>
    <n v="2"/>
    <x v="2"/>
  </r>
  <r>
    <s v="1.1.11.2"/>
    <s v="            Backend API"/>
    <x v="3"/>
    <n v="4"/>
    <x v="2"/>
  </r>
  <r>
    <s v="1.1.11.3"/>
    <s v="            Web Front End"/>
    <x v="3"/>
    <n v="4"/>
    <x v="3"/>
  </r>
  <r>
    <s v="1.1.12"/>
    <s v="        PNM-013: View Transfers (ECR) List"/>
    <x v="2"/>
    <n v="8"/>
    <x v="1"/>
  </r>
  <r>
    <s v="1.1.12.1"/>
    <s v="            Backend API"/>
    <x v="3"/>
    <n v="4"/>
    <x v="5"/>
  </r>
  <r>
    <s v="1.1.12.2"/>
    <s v="            Web Front End"/>
    <x v="3"/>
    <n v="4"/>
    <x v="3"/>
  </r>
  <r>
    <s v="1.1.13"/>
    <s v="        PNM-014: Raise Gate Pass for Off-Site Repair"/>
    <x v="2"/>
    <n v="15"/>
    <x v="1"/>
  </r>
  <r>
    <s v="1.1.13.1"/>
    <s v="            Database"/>
    <x v="3"/>
    <n v="3"/>
    <x v="2"/>
  </r>
  <r>
    <s v="1.1.13.2"/>
    <s v="            Backend API"/>
    <x v="3"/>
    <n v="6"/>
    <x v="2"/>
  </r>
  <r>
    <s v="1.1.13.3"/>
    <s v="            Web Front End"/>
    <x v="3"/>
    <n v="6"/>
    <x v="4"/>
  </r>
  <r>
    <s v="1.1.14"/>
    <s v="        PNM-015: Record Gate Pass Return"/>
    <x v="2"/>
    <n v="10"/>
    <x v="1"/>
  </r>
  <r>
    <s v="1.1.14.1"/>
    <s v="            Database"/>
    <x v="3"/>
    <n v="2"/>
    <x v="2"/>
  </r>
  <r>
    <s v="1.1.14.2"/>
    <s v="            Backend API"/>
    <x v="3"/>
    <n v="4"/>
    <x v="2"/>
  </r>
  <r>
    <s v="1.1.14.3"/>
    <s v="            Web Front End"/>
    <x v="3"/>
    <n v="4"/>
    <x v="3"/>
  </r>
  <r>
    <s v="1.1.15"/>
    <s v="        PNM-016: Record Meter Replacement"/>
    <x v="2"/>
    <n v="10"/>
    <x v="1"/>
  </r>
  <r>
    <s v="1.1.15.1"/>
    <s v="            Database"/>
    <x v="3"/>
    <n v="2"/>
    <x v="2"/>
  </r>
  <r>
    <s v="1.1.15.2"/>
    <s v="            Backend API"/>
    <x v="3"/>
    <n v="4"/>
    <x v="2"/>
  </r>
  <r>
    <s v="1.1.15.3"/>
    <s v="            Web Front End"/>
    <x v="3"/>
    <n v="4"/>
    <x v="4"/>
  </r>
  <r>
    <s v="1.1.16"/>
    <s v="        PNM-017: View Equipment Availability / Dashboard Widgets"/>
    <x v="2"/>
    <n v="12"/>
    <x v="1"/>
  </r>
  <r>
    <s v="1.1.16.1"/>
    <s v="            Backend API"/>
    <x v="3"/>
    <n v="4"/>
    <x v="5"/>
  </r>
  <r>
    <s v="1.1.16.2"/>
    <s v="            Web Front End"/>
    <x v="3"/>
    <n v="4"/>
    <x v="3"/>
  </r>
  <r>
    <s v="1.1.16.3"/>
    <s v="            Mobile"/>
    <x v="3"/>
    <n v="4"/>
    <x v="6"/>
  </r>
  <r>
    <s v="1.2"/>
    <s v="    Epic 2: Daily Equipment Checklist"/>
    <x v="1"/>
    <n v="76"/>
    <x v="0"/>
  </r>
  <r>
    <s v="1.2.1"/>
    <s v="        PNM-018: Configure Checklist Template per Equipment Category"/>
    <x v="2"/>
    <n v="15"/>
    <x v="1"/>
  </r>
  <r>
    <s v="1.2.1.1"/>
    <s v="            Database"/>
    <x v="3"/>
    <n v="2"/>
    <x v="2"/>
  </r>
  <r>
    <s v="1.2.1.2"/>
    <s v="            Backend API"/>
    <x v="3"/>
    <n v="4"/>
    <x v="2"/>
  </r>
  <r>
    <s v="1.2.1.3"/>
    <s v="            Web Front End"/>
    <x v="3"/>
    <n v="5"/>
    <x v="4"/>
  </r>
  <r>
    <s v="1.2.1.4"/>
    <s v="            Mobile"/>
    <x v="3"/>
    <n v="4"/>
    <x v="6"/>
  </r>
  <r>
    <s v="1.2.2"/>
    <s v="        PNM-019: Submit Daily Equipment Checklist"/>
    <x v="2"/>
    <n v="21"/>
    <x v="1"/>
  </r>
  <r>
    <s v="1.2.2.1"/>
    <s v="            Database"/>
    <x v="3"/>
    <n v="3"/>
    <x v="2"/>
  </r>
  <r>
    <s v="1.2.2.2"/>
    <s v="            Backend API"/>
    <x v="3"/>
    <n v="6"/>
    <x v="2"/>
  </r>
  <r>
    <s v="1.2.2.3"/>
    <s v="            Web Front End"/>
    <x v="3"/>
    <n v="6"/>
    <x v="3"/>
  </r>
  <r>
    <s v="1.2.2.4"/>
    <s v="            Mobile"/>
    <x v="3"/>
    <n v="6"/>
    <x v="6"/>
  </r>
  <r>
    <s v="1.2.3"/>
    <s v="        PNM-020: Trigger Safety Notification on Not-OK Safety-Flagged Item"/>
    <x v="2"/>
    <n v="14"/>
    <x v="1"/>
  </r>
  <r>
    <s v="1.2.3.1"/>
    <s v="            Database"/>
    <x v="3"/>
    <n v="2"/>
    <x v="2"/>
  </r>
  <r>
    <s v="1.2.3.2"/>
    <s v="            Backend API"/>
    <x v="3"/>
    <n v="4"/>
    <x v="2"/>
  </r>
  <r>
    <s v="1.2.3.3"/>
    <s v="            Web Front End"/>
    <x v="3"/>
    <n v="4"/>
    <x v="3"/>
  </r>
  <r>
    <s v="1.2.3.4"/>
    <s v="            Mobile"/>
    <x v="3"/>
    <n v="4"/>
    <x v="6"/>
  </r>
  <r>
    <s v="1.2.4"/>
    <s v="        PNM-021: Prompt to Raise Breakdown SR on Failed Checklist Item"/>
    <x v="2"/>
    <n v="14"/>
    <x v="1"/>
  </r>
  <r>
    <s v="1.2.4.1"/>
    <s v="            Database"/>
    <x v="3"/>
    <n v="2"/>
    <x v="2"/>
  </r>
  <r>
    <s v="1.2.4.2"/>
    <s v="            Backend API"/>
    <x v="3"/>
    <n v="4"/>
    <x v="2"/>
  </r>
  <r>
    <s v="1.2.4.3"/>
    <s v="            Web Front End"/>
    <x v="3"/>
    <n v="4"/>
    <x v="4"/>
  </r>
  <r>
    <s v="1.2.4.4"/>
    <s v="            Mobile"/>
    <x v="3"/>
    <n v="4"/>
    <x v="6"/>
  </r>
  <r>
    <s v="1.2.5"/>
    <s v="        PNM-022: View Checklist History"/>
    <x v="2"/>
    <n v="12"/>
    <x v="1"/>
  </r>
  <r>
    <s v="1.2.5.1"/>
    <s v="            Backend API"/>
    <x v="3"/>
    <n v="4"/>
    <x v="5"/>
  </r>
  <r>
    <s v="1.2.5.2"/>
    <s v="            Web Front End"/>
    <x v="3"/>
    <n v="4"/>
    <x v="3"/>
  </r>
  <r>
    <s v="1.2.5.3"/>
    <s v="            Mobile"/>
    <x v="3"/>
    <n v="4"/>
    <x v="6"/>
  </r>
  <r>
    <s v="1.3"/>
    <s v="    Epic 3: Digital Log Book"/>
    <x v="1"/>
    <n v="155"/>
    <x v="0"/>
  </r>
  <r>
    <s v="1.3.1"/>
    <s v="        PNM-023: Claim Equipment Ownership via First Fill"/>
    <x v="2"/>
    <n v="14"/>
    <x v="1"/>
  </r>
  <r>
    <s v="1.3.1.1"/>
    <s v="            Database"/>
    <x v="3"/>
    <n v="2"/>
    <x v="2"/>
  </r>
  <r>
    <s v="1.3.1.2"/>
    <s v="            Backend API"/>
    <x v="3"/>
    <n v="4"/>
    <x v="2"/>
  </r>
  <r>
    <s v="1.3.1.3"/>
    <s v="            Web Front End"/>
    <x v="3"/>
    <n v="4"/>
    <x v="3"/>
  </r>
  <r>
    <s v="1.3.1.4"/>
    <s v="            Mobile"/>
    <x v="3"/>
    <n v="4"/>
    <x v="6"/>
  </r>
  <r>
    <s v="1.3.2"/>
    <s v="        PNM-024: Transfer Equipment Ownership"/>
    <x v="2"/>
    <n v="14"/>
    <x v="1"/>
  </r>
  <r>
    <s v="1.3.2.1"/>
    <s v="            Database"/>
    <x v="3"/>
    <n v="2"/>
    <x v="2"/>
  </r>
  <r>
    <s v="1.3.2.2"/>
    <s v="            Backend API"/>
    <x v="3"/>
    <n v="4"/>
    <x v="2"/>
  </r>
  <r>
    <s v="1.3.2.3"/>
    <s v="            Web Front End"/>
    <x v="3"/>
    <n v="4"/>
    <x v="4"/>
  </r>
  <r>
    <s v="1.3.2.4"/>
    <s v="            Mobile"/>
    <x v="3"/>
    <n v="4"/>
    <x v="6"/>
  </r>
  <r>
    <s v="1.3.3"/>
    <s v="        PNM-025: Override Equipment Ownership (In-Charge)"/>
    <x v="2"/>
    <n v="14"/>
    <x v="1"/>
  </r>
  <r>
    <s v="1.3.3.1"/>
    <s v="            Database"/>
    <x v="3"/>
    <n v="2"/>
    <x v="2"/>
  </r>
  <r>
    <s v="1.3.3.2"/>
    <s v="            Backend API"/>
    <x v="3"/>
    <n v="4"/>
    <x v="2"/>
  </r>
  <r>
    <s v="1.3.3.3"/>
    <s v="            Web Front End"/>
    <x v="3"/>
    <n v="4"/>
    <x v="4"/>
  </r>
  <r>
    <s v="1.3.3.4"/>
    <s v="            Mobile"/>
    <x v="3"/>
    <n v="4"/>
    <x v="6"/>
  </r>
  <r>
    <s v="1.3.4"/>
    <s v="        PNM-026: Notify on No Owner by Cutoff"/>
    <x v="2"/>
    <n v="14"/>
    <x v="1"/>
  </r>
  <r>
    <s v="1.3.4.1"/>
    <s v="            Database"/>
    <x v="3"/>
    <n v="2"/>
    <x v="2"/>
  </r>
  <r>
    <s v="1.3.4.2"/>
    <s v="            Backend API"/>
    <x v="3"/>
    <n v="4"/>
    <x v="2"/>
  </r>
  <r>
    <s v="1.3.4.3"/>
    <s v="            Web Front End"/>
    <x v="3"/>
    <n v="4"/>
    <x v="3"/>
  </r>
  <r>
    <s v="1.3.4.4"/>
    <s v="            Mobile"/>
    <x v="3"/>
    <n v="4"/>
    <x v="6"/>
  </r>
  <r>
    <s v="1.3.5"/>
    <s v="        PNM-027: Non-Submission Notification &amp; Escalation Schedule"/>
    <x v="2"/>
    <n v="21"/>
    <x v="1"/>
  </r>
  <r>
    <s v="1.3.5.1"/>
    <s v="            Database"/>
    <x v="3"/>
    <n v="3"/>
    <x v="2"/>
  </r>
  <r>
    <s v="1.3.5.2"/>
    <s v="            Backend API"/>
    <x v="3"/>
    <n v="6"/>
    <x v="2"/>
  </r>
  <r>
    <s v="1.3.5.3"/>
    <s v="            Web Front End"/>
    <x v="3"/>
    <n v="6"/>
    <x v="3"/>
  </r>
  <r>
    <s v="1.3.5.4"/>
    <s v="            Mobile"/>
    <x v="3"/>
    <n v="6"/>
    <x v="6"/>
  </r>
  <r>
    <s v="1.3.6"/>
    <s v="        PNM-028: Submit Digital Log Book Entry"/>
    <x v="2"/>
    <n v="21"/>
    <x v="1"/>
  </r>
  <r>
    <s v="1.3.6.1"/>
    <s v="            Database"/>
    <x v="3"/>
    <n v="3"/>
    <x v="2"/>
  </r>
  <r>
    <s v="1.3.6.2"/>
    <s v="            Backend API"/>
    <x v="3"/>
    <n v="6"/>
    <x v="2"/>
  </r>
  <r>
    <s v="1.3.6.3"/>
    <s v="            Web Front End"/>
    <x v="3"/>
    <n v="6"/>
    <x v="3"/>
  </r>
  <r>
    <s v="1.3.6.4"/>
    <s v="            Mobile"/>
    <x v="3"/>
    <n v="6"/>
    <x v="6"/>
  </r>
  <r>
    <s v="1.3.7"/>
    <s v="        PNM-029: View Equipment Context Panel on Log Book"/>
    <x v="2"/>
    <n v="12"/>
    <x v="1"/>
  </r>
  <r>
    <s v="1.3.7.1"/>
    <s v="            Backend API"/>
    <x v="3"/>
    <n v="4"/>
    <x v="5"/>
  </r>
  <r>
    <s v="1.3.7.2"/>
    <s v="            Web Front End"/>
    <x v="3"/>
    <n v="4"/>
    <x v="3"/>
  </r>
  <r>
    <s v="1.3.7.3"/>
    <s v="            Mobile"/>
    <x v="3"/>
    <n v="4"/>
    <x v="6"/>
  </r>
  <r>
    <s v="1.3.8"/>
    <s v="        PNM-030: Evaluate PM Triggers After Log Book Submission"/>
    <x v="2"/>
    <n v="21"/>
    <x v="1"/>
  </r>
  <r>
    <s v="1.3.8.1"/>
    <s v="            Database"/>
    <x v="3"/>
    <n v="3"/>
    <x v="2"/>
  </r>
  <r>
    <s v="1.3.8.2"/>
    <s v="            Backend API"/>
    <x v="3"/>
    <n v="6"/>
    <x v="2"/>
  </r>
  <r>
    <s v="1.3.8.3"/>
    <s v="            Web Front End"/>
    <x v="3"/>
    <n v="6"/>
    <x v="4"/>
  </r>
  <r>
    <s v="1.3.8.4"/>
    <s v="            Mobile"/>
    <x v="3"/>
    <n v="6"/>
    <x v="6"/>
  </r>
  <r>
    <s v="1.3.9"/>
    <s v="        PNM-031: View Log Book History"/>
    <x v="2"/>
    <n v="12"/>
    <x v="1"/>
  </r>
  <r>
    <s v="1.3.9.1"/>
    <s v="            Backend API"/>
    <x v="3"/>
    <n v="4"/>
    <x v="5"/>
  </r>
  <r>
    <s v="1.3.9.2"/>
    <s v="            Web Front End"/>
    <x v="3"/>
    <n v="4"/>
    <x v="3"/>
  </r>
  <r>
    <s v="1.3.9.3"/>
    <s v="            Mobile"/>
    <x v="3"/>
    <n v="4"/>
    <x v="6"/>
  </r>
  <r>
    <s v="1.3.10"/>
    <s v="        PNM-032: View Checklist &amp; Log Book Compliance Dashboard"/>
    <x v="2"/>
    <n v="12"/>
    <x v="1"/>
  </r>
  <r>
    <s v="1.3.10.1"/>
    <s v="            Backend API"/>
    <x v="3"/>
    <n v="4"/>
    <x v="2"/>
  </r>
  <r>
    <s v="1.3.10.2"/>
    <s v="            Web Front End"/>
    <x v="3"/>
    <n v="4"/>
    <x v="3"/>
  </r>
  <r>
    <s v="1.3.10.3"/>
    <s v="            Mobile"/>
    <x v="3"/>
    <n v="4"/>
    <x v="6"/>
  </r>
  <r>
    <s v="1.4"/>
    <s v="    Epic 4: Breakdown Management"/>
    <x v="1"/>
    <n v="262"/>
    <x v="0"/>
  </r>
  <r>
    <s v="1.4.1"/>
    <s v="        PNM-033: Raise Breakdown Service Request"/>
    <x v="2"/>
    <n v="21"/>
    <x v="1"/>
  </r>
  <r>
    <s v="1.4.1.1"/>
    <s v="            Database"/>
    <x v="3"/>
    <n v="3"/>
    <x v="2"/>
  </r>
  <r>
    <s v="1.4.1.2"/>
    <s v="            Backend API"/>
    <x v="3"/>
    <n v="6"/>
    <x v="2"/>
  </r>
  <r>
    <s v="1.4.1.3"/>
    <s v="            Web Front End"/>
    <x v="3"/>
    <n v="6"/>
    <x v="3"/>
  </r>
  <r>
    <s v="1.4.1.4"/>
    <s v="            Mobile"/>
    <x v="3"/>
    <n v="6"/>
    <x v="6"/>
  </r>
  <r>
    <s v="1.4.2"/>
    <s v="        PNM-034: Auto-Classify Breakdown Priority"/>
    <x v="2"/>
    <n v="21"/>
    <x v="1"/>
  </r>
  <r>
    <s v="1.4.2.1"/>
    <s v="            Database"/>
    <x v="3"/>
    <n v="3"/>
    <x v="2"/>
  </r>
  <r>
    <s v="1.4.2.2"/>
    <s v="            Backend API"/>
    <x v="3"/>
    <n v="6"/>
    <x v="2"/>
  </r>
  <r>
    <s v="1.4.2.3"/>
    <s v="            Web Front End"/>
    <x v="3"/>
    <n v="6"/>
    <x v="4"/>
  </r>
  <r>
    <s v="1.4.2.4"/>
    <s v="            Mobile"/>
    <x v="3"/>
    <n v="6"/>
    <x v="6"/>
  </r>
  <r>
    <s v="1.4.3"/>
    <s v="        PNM-035: Assign Mechanic to Breakdown SR"/>
    <x v="2"/>
    <n v="14"/>
    <x v="1"/>
  </r>
  <r>
    <s v="1.4.3.1"/>
    <s v="            Database"/>
    <x v="3"/>
    <n v="2"/>
    <x v="2"/>
  </r>
  <r>
    <s v="1.4.3.2"/>
    <s v="            Backend API"/>
    <x v="3"/>
    <n v="4"/>
    <x v="5"/>
  </r>
  <r>
    <s v="1.4.3.3"/>
    <s v="            Web Front End"/>
    <x v="3"/>
    <n v="4"/>
    <x v="3"/>
  </r>
  <r>
    <s v="1.4.3.4"/>
    <s v="            Mobile"/>
    <x v="3"/>
    <n v="4"/>
    <x v="6"/>
  </r>
  <r>
    <s v="1.4.4"/>
    <s v="        PNM-036: Reassign Mechanic on Breakdown SR"/>
    <x v="2"/>
    <n v="21"/>
    <x v="1"/>
  </r>
  <r>
    <s v="1.4.4.1"/>
    <s v="            Database"/>
    <x v="3"/>
    <n v="3"/>
    <x v="2"/>
  </r>
  <r>
    <s v="1.4.4.2"/>
    <s v="            Backend API"/>
    <x v="3"/>
    <n v="6"/>
    <x v="5"/>
  </r>
  <r>
    <s v="1.4.4.3"/>
    <s v="            Web Front End"/>
    <x v="3"/>
    <n v="6"/>
    <x v="3"/>
  </r>
  <r>
    <s v="1.4.4.4"/>
    <s v="            Mobile"/>
    <x v="3"/>
    <n v="6"/>
    <x v="6"/>
  </r>
  <r>
    <s v="1.4.5"/>
    <s v="        PNM-037: Start Work on Breakdown SR"/>
    <x v="2"/>
    <n v="14"/>
    <x v="1"/>
  </r>
  <r>
    <s v="1.4.5.1"/>
    <s v="            Database"/>
    <x v="3"/>
    <n v="2"/>
    <x v="2"/>
  </r>
  <r>
    <s v="1.4.5.2"/>
    <s v="            Backend API"/>
    <x v="3"/>
    <n v="4"/>
    <x v="5"/>
  </r>
  <r>
    <s v="1.4.5.3"/>
    <s v="            Web Front End"/>
    <x v="3"/>
    <n v="4"/>
    <x v="4"/>
  </r>
  <r>
    <s v="1.4.5.4"/>
    <s v="            Mobile"/>
    <x v="3"/>
    <n v="4"/>
    <x v="6"/>
  </r>
  <r>
    <s v="1.4.6"/>
    <s v="        PNM-038: Record BD SR Diagnosis"/>
    <x v="2"/>
    <n v="21"/>
    <x v="1"/>
  </r>
  <r>
    <s v="1.4.6.1"/>
    <s v="            Database"/>
    <x v="3"/>
    <n v="3"/>
    <x v="2"/>
  </r>
  <r>
    <s v="1.4.6.2"/>
    <s v="            Backend API"/>
    <x v="3"/>
    <n v="6"/>
    <x v="5"/>
  </r>
  <r>
    <s v="1.4.6.3"/>
    <s v="            Web Front End"/>
    <x v="3"/>
    <n v="6"/>
    <x v="4"/>
  </r>
  <r>
    <s v="1.4.6.4"/>
    <s v="            Mobile"/>
    <x v="3"/>
    <n v="6"/>
    <x v="6"/>
  </r>
  <r>
    <s v="1.4.7"/>
    <s v="        PNM-039: Raise Spare Parts MRIS from Breakdown SR"/>
    <x v="2"/>
    <n v="14"/>
    <x v="1"/>
  </r>
  <r>
    <s v="1.4.7.1"/>
    <s v="            Database"/>
    <x v="3"/>
    <n v="2"/>
    <x v="2"/>
  </r>
  <r>
    <s v="1.4.7.2"/>
    <s v="            Backend API"/>
    <x v="3"/>
    <n v="4"/>
    <x v="5"/>
  </r>
  <r>
    <s v="1.4.7.3"/>
    <s v="            Web Front End"/>
    <x v="3"/>
    <n v="4"/>
    <x v="3"/>
  </r>
  <r>
    <s v="1.4.7.4"/>
    <s v="            Mobile"/>
    <x v="3"/>
    <n v="4"/>
    <x v="6"/>
  </r>
  <r>
    <s v="1.4.8"/>
    <s v="        PNM-040: Resume Breakdown SR from On Hold"/>
    <x v="2"/>
    <n v="14"/>
    <x v="1"/>
  </r>
  <r>
    <s v="1.4.8.1"/>
    <s v="            Database"/>
    <x v="3"/>
    <n v="2"/>
    <x v="2"/>
  </r>
  <r>
    <s v="1.4.8.2"/>
    <s v="            Backend API"/>
    <x v="3"/>
    <n v="4"/>
    <x v="5"/>
  </r>
  <r>
    <s v="1.4.8.3"/>
    <s v="            Web Front End"/>
    <x v="3"/>
    <n v="4"/>
    <x v="3"/>
  </r>
  <r>
    <s v="1.4.8.4"/>
    <s v="            Mobile"/>
    <x v="3"/>
    <n v="4"/>
    <x v="6"/>
  </r>
  <r>
    <s v="1.4.9"/>
    <s v="        PNM-041: Resolve Breakdown SR"/>
    <x v="2"/>
    <n v="21"/>
    <x v="1"/>
  </r>
  <r>
    <s v="1.4.9.1"/>
    <s v="            Database"/>
    <x v="3"/>
    <n v="3"/>
    <x v="2"/>
  </r>
  <r>
    <s v="1.4.9.2"/>
    <s v="            Backend API"/>
    <x v="3"/>
    <n v="6"/>
    <x v="5"/>
  </r>
  <r>
    <s v="1.4.9.3"/>
    <s v="            Web Front End"/>
    <x v="3"/>
    <n v="6"/>
    <x v="3"/>
  </r>
  <r>
    <s v="1.4.9.4"/>
    <s v="            Mobile"/>
    <x v="3"/>
    <n v="6"/>
    <x v="6"/>
  </r>
  <r>
    <s v="1.4.10"/>
    <s v="        PNM-042: Capture Maintenance Activities During Breakdown Repair (PM Counter Sync)"/>
    <x v="2"/>
    <n v="21"/>
    <x v="1"/>
  </r>
  <r>
    <s v="1.4.10.1"/>
    <s v="            Database"/>
    <x v="3"/>
    <n v="3"/>
    <x v="2"/>
  </r>
  <r>
    <s v="1.4.10.2"/>
    <s v="            Backend API"/>
    <x v="3"/>
    <n v="6"/>
    <x v="5"/>
  </r>
  <r>
    <s v="1.4.10.3"/>
    <s v="            Web Front End"/>
    <x v="3"/>
    <n v="6"/>
    <x v="4"/>
  </r>
  <r>
    <s v="1.4.10.4"/>
    <s v="            Mobile"/>
    <x v="3"/>
    <n v="6"/>
    <x v="6"/>
  </r>
  <r>
    <s v="1.4.11"/>
    <s v="        PNM-043: Confirm Fix and Close Breakdown SR"/>
    <x v="2"/>
    <n v="14"/>
    <x v="1"/>
  </r>
  <r>
    <s v="1.4.11.1"/>
    <s v="            Database"/>
    <x v="3"/>
    <n v="2"/>
    <x v="2"/>
  </r>
  <r>
    <s v="1.4.11.2"/>
    <s v="            Backend API"/>
    <x v="3"/>
    <n v="4"/>
    <x v="5"/>
  </r>
  <r>
    <s v="1.4.11.3"/>
    <s v="            Web Front End"/>
    <x v="3"/>
    <n v="4"/>
    <x v="3"/>
  </r>
  <r>
    <s v="1.4.11.4"/>
    <s v="            Mobile"/>
    <x v="3"/>
    <n v="4"/>
    <x v="6"/>
  </r>
  <r>
    <s v="1.4.12"/>
    <s v="        PNM-044: Reopen Breakdown SR"/>
    <x v="2"/>
    <n v="14"/>
    <x v="1"/>
  </r>
  <r>
    <s v="1.4.12.1"/>
    <s v="            Database"/>
    <x v="3"/>
    <n v="2"/>
    <x v="2"/>
  </r>
  <r>
    <s v="1.4.12.2"/>
    <s v="            Backend API"/>
    <x v="3"/>
    <n v="4"/>
    <x v="5"/>
  </r>
  <r>
    <s v="1.4.12.3"/>
    <s v="            Web Front End"/>
    <x v="3"/>
    <n v="4"/>
    <x v="3"/>
  </r>
  <r>
    <s v="1.4.12.4"/>
    <s v="            Mobile"/>
    <x v="3"/>
    <n v="4"/>
    <x v="6"/>
  </r>
  <r>
    <s v="1.4.13"/>
    <s v="        PNM-045: View Breakdown SR Timeline / Activity Log"/>
    <x v="2"/>
    <n v="12"/>
    <x v="1"/>
  </r>
  <r>
    <s v="1.4.13.1"/>
    <s v="            Backend API"/>
    <x v="3"/>
    <n v="4"/>
    <x v="5"/>
  </r>
  <r>
    <s v="1.4.13.2"/>
    <s v="            Web Front End"/>
    <x v="3"/>
    <n v="4"/>
    <x v="3"/>
  </r>
  <r>
    <s v="1.4.13.3"/>
    <s v="            Mobile"/>
    <x v="3"/>
    <n v="4"/>
    <x v="6"/>
  </r>
  <r>
    <s v="1.4.14"/>
    <s v="        PNM-046: Attach Photos to Breakdown SR"/>
    <x v="2"/>
    <n v="14"/>
    <x v="1"/>
  </r>
  <r>
    <s v="1.4.14.1"/>
    <s v="            Database"/>
    <x v="3"/>
    <n v="2"/>
    <x v="2"/>
  </r>
  <r>
    <s v="1.4.14.2"/>
    <s v="            Backend API"/>
    <x v="3"/>
    <n v="4"/>
    <x v="5"/>
  </r>
  <r>
    <s v="1.4.14.3"/>
    <s v="            Web Front End"/>
    <x v="3"/>
    <n v="4"/>
    <x v="3"/>
  </r>
  <r>
    <s v="1.4.14.4"/>
    <s v="            Mobile"/>
    <x v="3"/>
    <n v="4"/>
    <x v="6"/>
  </r>
  <r>
    <s v="1.4.15"/>
    <s v="        PNM-047: Search and Filter Breakdown SR List"/>
    <x v="2"/>
    <n v="12"/>
    <x v="1"/>
  </r>
  <r>
    <s v="1.4.15.1"/>
    <s v="            Backend API"/>
    <x v="3"/>
    <n v="4"/>
    <x v="5"/>
  </r>
  <r>
    <s v="1.4.15.2"/>
    <s v="            Web Front End"/>
    <x v="3"/>
    <n v="4"/>
    <x v="3"/>
  </r>
  <r>
    <s v="1.4.15.3"/>
    <s v="            Mobile"/>
    <x v="3"/>
    <n v="4"/>
    <x v="6"/>
  </r>
  <r>
    <s v="1.4.16"/>
    <s v="        PNM-048: Flag and Alert on SR Ageing"/>
    <x v="2"/>
    <n v="14"/>
    <x v="1"/>
  </r>
  <r>
    <s v="1.4.16.1"/>
    <s v="            Database"/>
    <x v="3"/>
    <n v="2"/>
    <x v="2"/>
  </r>
  <r>
    <s v="1.4.16.2"/>
    <s v="            Backend API"/>
    <x v="3"/>
    <n v="4"/>
    <x v="5"/>
  </r>
  <r>
    <s v="1.4.16.3"/>
    <s v="            Web Front End"/>
    <x v="3"/>
    <n v="4"/>
    <x v="3"/>
  </r>
  <r>
    <s v="1.4.16.4"/>
    <s v="            Mobile"/>
    <x v="3"/>
    <n v="4"/>
    <x v="6"/>
  </r>
  <r>
    <s v="1.5"/>
    <s v="    Epic 5: Preventive Maintenance"/>
    <x v="1"/>
    <n v="122"/>
    <x v="0"/>
  </r>
  <r>
    <s v="1.5.1"/>
    <s v="        PNM-049: Auto-Generate PM Service Request"/>
    <x v="2"/>
    <n v="14"/>
    <x v="1"/>
  </r>
  <r>
    <s v="1.5.1.1"/>
    <s v="            Database"/>
    <x v="3"/>
    <n v="2"/>
    <x v="2"/>
  </r>
  <r>
    <s v="1.5.1.2"/>
    <s v="            Backend API"/>
    <x v="3"/>
    <n v="4"/>
    <x v="5"/>
  </r>
  <r>
    <s v="1.5.1.3"/>
    <s v="            Web Front End"/>
    <x v="3"/>
    <n v="4"/>
    <x v="3"/>
  </r>
  <r>
    <s v="1.5.1.4"/>
    <s v="            Mobile"/>
    <x v="3"/>
    <n v="4"/>
    <x v="6"/>
  </r>
  <r>
    <s v="1.5.2"/>
    <s v="        PNM-050: Manually Create PM Service Request"/>
    <x v="2"/>
    <n v="14"/>
    <x v="1"/>
  </r>
  <r>
    <s v="1.5.2.1"/>
    <s v="            Database"/>
    <x v="3"/>
    <n v="2"/>
    <x v="2"/>
  </r>
  <r>
    <s v="1.5.2.2"/>
    <s v="            Backend API"/>
    <x v="3"/>
    <n v="4"/>
    <x v="5"/>
  </r>
  <r>
    <s v="1.5.2.3"/>
    <s v="            Web Front End"/>
    <x v="3"/>
    <n v="4"/>
    <x v="3"/>
  </r>
  <r>
    <s v="1.5.2.4"/>
    <s v="            Mobile"/>
    <x v="3"/>
    <n v="4"/>
    <x v="6"/>
  </r>
  <r>
    <s v="1.5.3"/>
    <s v="        PNM-051: Assign Mechanic to PM SR"/>
    <x v="2"/>
    <n v="14"/>
    <x v="1"/>
  </r>
  <r>
    <s v="1.5.3.1"/>
    <s v="            Database"/>
    <x v="3"/>
    <n v="2"/>
    <x v="2"/>
  </r>
  <r>
    <s v="1.5.3.2"/>
    <s v="            Backend API"/>
    <x v="3"/>
    <n v="4"/>
    <x v="5"/>
  </r>
  <r>
    <s v="1.5.3.3"/>
    <s v="            Web Front End"/>
    <x v="3"/>
    <n v="4"/>
    <x v="3"/>
  </r>
  <r>
    <s v="1.5.3.4"/>
    <s v="            Mobile"/>
    <x v="3"/>
    <n v="4"/>
    <x v="6"/>
  </r>
  <r>
    <s v="1.5.4"/>
    <s v="        PNM-052: Execute PM Checklist and Mark Item Outcomes"/>
    <x v="2"/>
    <n v="21"/>
    <x v="1"/>
  </r>
  <r>
    <s v="1.5.4.1"/>
    <s v="            Database"/>
    <x v="3"/>
    <n v="3"/>
    <x v="2"/>
  </r>
  <r>
    <s v="1.5.4.2"/>
    <s v="            Backend API"/>
    <x v="3"/>
    <n v="6"/>
    <x v="5"/>
  </r>
  <r>
    <s v="1.5.4.3"/>
    <s v="            Web Front End"/>
    <x v="3"/>
    <n v="6"/>
    <x v="3"/>
  </r>
  <r>
    <s v="1.5.4.4"/>
    <s v="            Mobile"/>
    <x v="3"/>
    <n v="6"/>
    <x v="6"/>
  </r>
  <r>
    <s v="1.5.5"/>
    <s v="        PNM-053: Review and Decide on PM Item Deferrals at Closure"/>
    <x v="2"/>
    <n v="21"/>
    <x v="1"/>
  </r>
  <r>
    <s v="1.5.5.1"/>
    <s v="            Database"/>
    <x v="3"/>
    <n v="3"/>
    <x v="2"/>
  </r>
  <r>
    <s v="1.5.5.2"/>
    <s v="            Backend API"/>
    <x v="3"/>
    <n v="6"/>
    <x v="5"/>
  </r>
  <r>
    <s v="1.5.5.3"/>
    <s v="            Web Front End"/>
    <x v="3"/>
    <n v="6"/>
    <x v="3"/>
  </r>
  <r>
    <s v="1.5.5.4"/>
    <s v="            Mobile"/>
    <x v="3"/>
    <n v="6"/>
    <x v="6"/>
  </r>
  <r>
    <s v="1.5.6"/>
    <s v="        PNM-054: Close Preventive Maintenance SR"/>
    <x v="2"/>
    <n v="14"/>
    <x v="1"/>
  </r>
  <r>
    <s v="1.5.6.1"/>
    <s v="            Database"/>
    <x v="3"/>
    <n v="2"/>
    <x v="2"/>
  </r>
  <r>
    <s v="1.5.6.2"/>
    <s v="            Backend API"/>
    <x v="3"/>
    <n v="4"/>
    <x v="5"/>
  </r>
  <r>
    <s v="1.5.6.3"/>
    <s v="            Web Front End"/>
    <x v="3"/>
    <n v="4"/>
    <x v="3"/>
  </r>
  <r>
    <s v="1.5.6.4"/>
    <s v="            Mobile"/>
    <x v="3"/>
    <n v="4"/>
    <x v="6"/>
  </r>
  <r>
    <s v="1.5.7"/>
    <s v="        PNM-055: View PM Schedule and Compliance Status"/>
    <x v="2"/>
    <n v="12"/>
    <x v="1"/>
  </r>
  <r>
    <s v="1.5.7.1"/>
    <s v="            Backend API"/>
    <x v="3"/>
    <n v="4"/>
    <x v="5"/>
  </r>
  <r>
    <s v="1.5.7.2"/>
    <s v="            Web Front End"/>
    <x v="3"/>
    <n v="4"/>
    <x v="3"/>
  </r>
  <r>
    <s v="1.5.7.3"/>
    <s v="            Mobile"/>
    <x v="3"/>
    <n v="4"/>
    <x v="6"/>
  </r>
  <r>
    <s v="1.5.8"/>
    <s v="        PNM-056: View PM History"/>
    <x v="2"/>
    <n v="12"/>
    <x v="1"/>
  </r>
  <r>
    <s v="1.5.8.1"/>
    <s v="            Backend API"/>
    <x v="3"/>
    <n v="4"/>
    <x v="5"/>
  </r>
  <r>
    <s v="1.5.8.2"/>
    <s v="            Web Front End"/>
    <x v="3"/>
    <n v="4"/>
    <x v="3"/>
  </r>
  <r>
    <s v="1.5.8.3"/>
    <s v="            Mobile"/>
    <x v="3"/>
    <n v="4"/>
    <x v="6"/>
  </r>
  <r>
    <n v="1.6"/>
    <s v="    Epic 8: Fuel/Spare Parts MRIS"/>
    <x v="1"/>
    <n v="82"/>
    <x v="0"/>
  </r>
  <r>
    <s v="1.6.1"/>
    <s v="        PNM-069: Select Spare Parts for SR-Linked MRIS"/>
    <x v="2"/>
    <n v="14"/>
    <x v="1"/>
  </r>
  <r>
    <s v="1.6.1.1"/>
    <s v="            Database"/>
    <x v="3"/>
    <n v="2"/>
    <x v="2"/>
  </r>
  <r>
    <s v="1.6.1.2"/>
    <s v="            Backend API"/>
    <x v="3"/>
    <n v="4"/>
    <x v="5"/>
  </r>
  <r>
    <s v="1.6.1.3"/>
    <s v="            Web Front End"/>
    <x v="3"/>
    <n v="4"/>
    <x v="3"/>
  </r>
  <r>
    <s v="1.6.1.4"/>
    <s v="            Mobile"/>
    <x v="3"/>
    <n v="4"/>
    <x v="6"/>
  </r>
  <r>
    <s v="1.6.2"/>
    <s v="        PNM-070: Approve Spare Parts MRIS"/>
    <x v="2"/>
    <n v="14"/>
    <x v="1"/>
  </r>
  <r>
    <s v="1.6.2.1"/>
    <s v="            Database"/>
    <x v="3"/>
    <n v="2"/>
    <x v="2"/>
  </r>
  <r>
    <s v="1.6.2.2"/>
    <s v="            Backend API"/>
    <x v="3"/>
    <n v="4"/>
    <x v="5"/>
  </r>
  <r>
    <s v="1.6.2.3"/>
    <s v="            Web Front End"/>
    <x v="3"/>
    <n v="4"/>
    <x v="3"/>
  </r>
  <r>
    <s v="1.6.2.4"/>
    <s v="            Mobile"/>
    <x v="3"/>
    <n v="4"/>
    <x v="6"/>
  </r>
  <r>
    <s v="1.6.3"/>
    <s v="        PNM-071: Issue Material Against Spare Parts MRIS"/>
    <x v="2"/>
    <n v="14"/>
    <x v="1"/>
  </r>
  <r>
    <s v="1.6.3.1"/>
    <s v="            Database"/>
    <x v="3"/>
    <n v="2"/>
    <x v="2"/>
  </r>
  <r>
    <s v="1.6.3.2"/>
    <s v="            Backend API"/>
    <x v="3"/>
    <n v="4"/>
    <x v="5"/>
  </r>
  <r>
    <s v="1.6.3.3"/>
    <s v="            Web Front End"/>
    <x v="3"/>
    <n v="4"/>
    <x v="3"/>
  </r>
  <r>
    <s v="1.6.3.4"/>
    <s v="            Mobile"/>
    <x v="3"/>
    <n v="4"/>
    <x v="6"/>
  </r>
  <r>
    <s v="1.6.4"/>
    <s v="        PNM-072: Acknowledge Spare Parts Receipt"/>
    <x v="2"/>
    <n v="14"/>
    <x v="1"/>
  </r>
  <r>
    <s v="1.6.4.1"/>
    <s v="            Database"/>
    <x v="3"/>
    <n v="2"/>
    <x v="2"/>
  </r>
  <r>
    <s v="1.6.4.2"/>
    <s v="            Backend API"/>
    <x v="3"/>
    <n v="4"/>
    <x v="5"/>
  </r>
  <r>
    <s v="1.6.4.3"/>
    <s v="            Web Front End"/>
    <x v="3"/>
    <n v="4"/>
    <x v="3"/>
  </r>
  <r>
    <s v="1.6.4.4"/>
    <s v="            Mobile"/>
    <x v="3"/>
    <n v="4"/>
    <x v="6"/>
  </r>
  <r>
    <s v="1.6.5"/>
    <s v="        PNM-073: View Spare Parts Consumption History"/>
    <x v="2"/>
    <n v="12"/>
    <x v="1"/>
  </r>
  <r>
    <s v="1.6.5.1"/>
    <s v="            Backend API"/>
    <x v="3"/>
    <n v="4"/>
    <x v="5"/>
  </r>
  <r>
    <s v="1.6.5.2"/>
    <s v="            Web Front End"/>
    <x v="3"/>
    <n v="4"/>
    <x v="3"/>
  </r>
  <r>
    <s v="1.6.5.3"/>
    <s v="            Mobile"/>
    <x v="3"/>
    <n v="4"/>
    <x v="6"/>
  </r>
  <r>
    <s v="1.6.6"/>
    <s v="        PNM-074: Auto-Cancel Spare MRIS on Equipment Transfer"/>
    <x v="2"/>
    <n v="14"/>
    <x v="1"/>
  </r>
  <r>
    <s v="1.6.6.1"/>
    <s v="            Database"/>
    <x v="3"/>
    <n v="2"/>
    <x v="2"/>
  </r>
  <r>
    <s v="1.6.6.2"/>
    <s v="            Backend API"/>
    <x v="3"/>
    <n v="4"/>
    <x v="5"/>
  </r>
  <r>
    <s v="1.6.6.3"/>
    <s v="            Web Front End"/>
    <x v="3"/>
    <n v="4"/>
    <x v="3"/>
  </r>
  <r>
    <s v="1.6.6.4"/>
    <s v="            Mobile"/>
    <x v="3"/>
    <n v="4"/>
    <x v="6"/>
  </r>
  <r>
    <n v="1.7"/>
    <s v="    Epic 9: Reports &amp; Analytics"/>
    <x v="1"/>
    <n v="124"/>
    <x v="0"/>
  </r>
  <r>
    <s v="1.7.1"/>
    <s v="        PNM-076: View Equipment Utilization Report"/>
    <x v="2"/>
    <n v="12"/>
    <x v="1"/>
  </r>
  <r>
    <s v="1.7.1.1"/>
    <s v="            Backend API"/>
    <x v="3"/>
    <n v="4"/>
    <x v="5"/>
  </r>
  <r>
    <s v="1.7.1.2"/>
    <s v="            Web Front End"/>
    <x v="3"/>
    <n v="4"/>
    <x v="3"/>
  </r>
  <r>
    <s v="1.7.1.3"/>
    <s v="            Mobile"/>
    <x v="3"/>
    <n v="4"/>
    <x v="6"/>
  </r>
  <r>
    <s v="1.7.2"/>
    <s v="        PNM-077: View Downtime Report (Total, MTTR, Net Repair Time, Hold Breakdown)"/>
    <x v="2"/>
    <n v="12"/>
    <x v="1"/>
  </r>
  <r>
    <s v="1.7.2.1"/>
    <s v="            Backend API"/>
    <x v="3"/>
    <n v="4"/>
    <x v="5"/>
  </r>
  <r>
    <s v="1.7.2.2"/>
    <s v="            Web Front End"/>
    <x v="3"/>
    <n v="4"/>
    <x v="3"/>
  </r>
  <r>
    <s v="1.7.2.3"/>
    <s v="            Mobile"/>
    <x v="3"/>
    <n v="4"/>
    <x v="6"/>
  </r>
  <r>
    <s v="1.7.3"/>
    <s v="        PNM-078: View Breakdown Reports"/>
    <x v="2"/>
    <n v="12"/>
    <x v="1"/>
  </r>
  <r>
    <s v="1.7.3.1"/>
    <s v="            Backend API"/>
    <x v="3"/>
    <n v="4"/>
    <x v="5"/>
  </r>
  <r>
    <s v="1.7.3.2"/>
    <s v="            Web Front End"/>
    <x v="3"/>
    <n v="4"/>
    <x v="3"/>
  </r>
  <r>
    <s v="1.7.3.3"/>
    <s v="            Mobile"/>
    <x v="3"/>
    <n v="4"/>
    <x v="6"/>
  </r>
  <r>
    <s v="1.7.4"/>
    <s v="        PNM-079: View PM Reports (Adherence &amp; Deferral Summary)"/>
    <x v="2"/>
    <n v="12"/>
    <x v="1"/>
  </r>
  <r>
    <s v="1.7.4.1"/>
    <s v="            Backend API"/>
    <x v="3"/>
    <n v="4"/>
    <x v="5"/>
  </r>
  <r>
    <s v="1.7.4.2"/>
    <s v="            Web Front End"/>
    <x v="3"/>
    <n v="4"/>
    <x v="3"/>
  </r>
  <r>
    <s v="1.7.4.3"/>
    <s v="            Mobile"/>
    <x v="3"/>
    <n v="4"/>
    <x v="6"/>
  </r>
  <r>
    <s v="1.7.5"/>
    <s v="        PNM-080: View Fuel Consumption Report"/>
    <x v="2"/>
    <n v="12"/>
    <x v="1"/>
  </r>
  <r>
    <s v="1.7.5.1"/>
    <s v="            Backend API"/>
    <x v="3"/>
    <n v="4"/>
    <x v="5"/>
  </r>
  <r>
    <s v="1.7.5.2"/>
    <s v="            Web Front End"/>
    <x v="3"/>
    <n v="4"/>
    <x v="3"/>
  </r>
  <r>
    <s v="1.7.5.3"/>
    <s v="            Mobile"/>
    <x v="3"/>
    <n v="4"/>
    <x v="6"/>
  </r>
  <r>
    <s v="1.7.6"/>
    <s v="        PNM-081: View Spare Parts Consumption Report"/>
    <x v="2"/>
    <n v="12"/>
    <x v="1"/>
  </r>
  <r>
    <s v="1.7.6.1"/>
    <s v="            Backend API"/>
    <x v="3"/>
    <n v="4"/>
    <x v="5"/>
  </r>
  <r>
    <s v="1.7.6.2"/>
    <s v="            Web Front End"/>
    <x v="3"/>
    <n v="4"/>
    <x v="3"/>
  </r>
  <r>
    <s v="1.7.6.3"/>
    <s v="            Mobile"/>
    <x v="3"/>
    <n v="4"/>
    <x v="6"/>
  </r>
  <r>
    <s v="1.7.7"/>
    <s v="        PNM-082: View Idle Equipment Report"/>
    <x v="2"/>
    <n v="12"/>
    <x v="1"/>
  </r>
  <r>
    <s v="1.7.7.1"/>
    <s v="            Backend API"/>
    <x v="3"/>
    <n v="4"/>
    <x v="5"/>
  </r>
  <r>
    <s v="1.7.7.2"/>
    <s v="            Web Front End"/>
    <x v="3"/>
    <n v="4"/>
    <x v="3"/>
  </r>
  <r>
    <s v="1.7.7.3"/>
    <s v="            Mobile"/>
    <x v="3"/>
    <n v="4"/>
    <x v="6"/>
  </r>
  <r>
    <s v="1.7.8"/>
    <s v="        PNM-083: Detect and Report Recurring Failures"/>
    <x v="2"/>
    <n v="14"/>
    <x v="1"/>
  </r>
  <r>
    <s v="1.7.8.1"/>
    <s v="            Database"/>
    <x v="3"/>
    <n v="2"/>
    <x v="2"/>
  </r>
  <r>
    <s v="1.7.8.2"/>
    <s v="            Backend API"/>
    <x v="3"/>
    <n v="4"/>
    <x v="5"/>
  </r>
  <r>
    <s v="1.7.8.3"/>
    <s v="            Web Front End"/>
    <x v="3"/>
    <n v="4"/>
    <x v="3"/>
  </r>
  <r>
    <s v="1.7.8.4"/>
    <s v="            Mobile"/>
    <x v="3"/>
    <n v="4"/>
    <x v="6"/>
  </r>
  <r>
    <s v="1.7.9"/>
    <s v="        PNM-084: View Mechanic Performance Report"/>
    <x v="2"/>
    <n v="12"/>
    <x v="1"/>
  </r>
  <r>
    <s v="1.7.9.1"/>
    <s v="            Backend API"/>
    <x v="3"/>
    <n v="4"/>
    <x v="5"/>
  </r>
  <r>
    <s v="1.7.9.2"/>
    <s v="            Web Front End"/>
    <x v="3"/>
    <n v="4"/>
    <x v="3"/>
  </r>
  <r>
    <s v="1.7.9.3"/>
    <s v="            Mobile"/>
    <x v="3"/>
    <n v="4"/>
    <x v="6"/>
  </r>
  <r>
    <s v="1.7.10"/>
    <s v="        PNM-085: Export and Print Reports"/>
    <x v="2"/>
    <n v="14"/>
    <x v="1"/>
  </r>
  <r>
    <s v="1.7.10.1"/>
    <s v="            Database"/>
    <x v="3"/>
    <n v="2"/>
    <x v="2"/>
  </r>
  <r>
    <s v="1.7.10.2"/>
    <s v="            Backend API"/>
    <x v="3"/>
    <n v="4"/>
    <x v="5"/>
  </r>
  <r>
    <s v="1.7.10.3"/>
    <s v="            Web Front End"/>
    <x v="3"/>
    <n v="4"/>
    <x v="3"/>
  </r>
  <r>
    <s v="1.7.10.4"/>
    <s v="            Mobile"/>
    <x v="3"/>
    <n v="4"/>
    <x v="6"/>
  </r>
  <r>
    <s v="1.10"/>
    <s v="    Epic 10: Masters"/>
    <x v="1"/>
    <n v="48"/>
    <x v="0"/>
  </r>
  <r>
    <s v="1.10.1"/>
    <s v="        PNM-086: Configure Maintenance Activity Details Master"/>
    <x v="2"/>
    <n v="3"/>
    <x v="1"/>
  </r>
  <r>
    <s v="1.10.1.1"/>
    <s v="            Database"/>
    <x v="3"/>
    <n v="1"/>
    <x v="2"/>
  </r>
  <r>
    <s v="1.10.1.2"/>
    <s v="            Backend API"/>
    <x v="3"/>
    <n v="1"/>
    <x v="5"/>
  </r>
  <r>
    <s v="1.10.1.3"/>
    <s v="            Web Front End"/>
    <x v="3"/>
    <n v="1"/>
    <x v="3"/>
  </r>
  <r>
    <s v="1.10.2"/>
    <s v="        PNM-087: Configure Equipment Checklist Points Master"/>
    <x v="2"/>
    <n v="3"/>
    <x v="1"/>
  </r>
  <r>
    <s v="1.10.2.1"/>
    <s v="            Database"/>
    <x v="3"/>
    <n v="1"/>
    <x v="2"/>
  </r>
  <r>
    <s v="1.10.2.2"/>
    <s v="            Backend API"/>
    <x v="3"/>
    <n v="1"/>
    <x v="5"/>
  </r>
  <r>
    <s v="1.10.2.3"/>
    <s v="            Web Front End"/>
    <x v="3"/>
    <n v="1"/>
    <x v="3"/>
  </r>
  <r>
    <s v="1.10.3"/>
    <s v="        PNM-088: Configure Breakdown Reason Codes Master"/>
    <x v="2"/>
    <n v="3"/>
    <x v="1"/>
  </r>
  <r>
    <s v="1.10.3.1"/>
    <s v="            Database"/>
    <x v="3"/>
    <n v="1"/>
    <x v="2"/>
  </r>
  <r>
    <s v="1.10.3.2"/>
    <s v="            Backend API"/>
    <x v="3"/>
    <n v="1"/>
    <x v="5"/>
  </r>
  <r>
    <s v="1.10.3.3"/>
    <s v="            Web Front End"/>
    <x v="3"/>
    <n v="1"/>
    <x v="3"/>
  </r>
  <r>
    <s v="1.10.4"/>
    <s v="        PNM-089: Configure Sub-Part Names Master"/>
    <x v="2"/>
    <n v="3"/>
    <x v="1"/>
  </r>
  <r>
    <s v="1.10.4.1"/>
    <s v="            Database"/>
    <x v="3"/>
    <n v="1"/>
    <x v="2"/>
  </r>
  <r>
    <s v="1.10.4.2"/>
    <s v="            Backend API"/>
    <x v="3"/>
    <n v="1"/>
    <x v="5"/>
  </r>
  <r>
    <s v="1.10.4.3"/>
    <s v="            Web Front End"/>
    <x v="3"/>
    <n v="1"/>
    <x v="3"/>
  </r>
  <r>
    <s v="1.10.5"/>
    <s v="        PNM-090: Configure In-house Maintenance Remarks Master"/>
    <x v="2"/>
    <n v="3"/>
    <x v="1"/>
  </r>
  <r>
    <s v="1.10.5.1"/>
    <s v="            Database"/>
    <x v="3"/>
    <n v="1"/>
    <x v="2"/>
  </r>
  <r>
    <s v="1.10.5.2"/>
    <s v="            Backend API"/>
    <x v="3"/>
    <n v="1"/>
    <x v="5"/>
  </r>
  <r>
    <s v="1.10.5.3"/>
    <s v="            Web Front End"/>
    <x v="3"/>
    <n v="1"/>
    <x v="3"/>
  </r>
  <r>
    <s v="1.10.6"/>
    <s v="        PNM-091: Configure Specification Field Definitions Master"/>
    <x v="2"/>
    <n v="3"/>
    <x v="1"/>
  </r>
  <r>
    <s v="1.10.6.1"/>
    <s v="            Database"/>
    <x v="3"/>
    <n v="1"/>
    <x v="2"/>
  </r>
  <r>
    <s v="1.10.6.2"/>
    <s v="            Backend API"/>
    <x v="3"/>
    <n v="1"/>
    <x v="5"/>
  </r>
  <r>
    <s v="1.10.6.3"/>
    <s v="            Web Front End"/>
    <x v="3"/>
    <n v="1"/>
    <x v="3"/>
  </r>
  <r>
    <s v="1.10.7"/>
    <s v="        PNM-092: Configure Work Description Types Master"/>
    <x v="2"/>
    <n v="3"/>
    <x v="1"/>
  </r>
  <r>
    <s v="1.10.7.1"/>
    <s v="            Database"/>
    <x v="3"/>
    <n v="1"/>
    <x v="2"/>
  </r>
  <r>
    <s v="1.10.7.2"/>
    <s v="            Backend API"/>
    <x v="3"/>
    <n v="1"/>
    <x v="5"/>
  </r>
  <r>
    <s v="1.10.7.3"/>
    <s v="            Web Front End"/>
    <x v="3"/>
    <n v="1"/>
    <x v="3"/>
  </r>
  <r>
    <s v="1.10.8"/>
    <s v="        PNM-093: Configure Failure Type Master"/>
    <x v="2"/>
    <n v="3"/>
    <x v="1"/>
  </r>
  <r>
    <s v="1.10.8.1"/>
    <s v="            Database"/>
    <x v="3"/>
    <n v="1"/>
    <x v="2"/>
  </r>
  <r>
    <s v="1.10.8.2"/>
    <s v="            Backend API"/>
    <x v="3"/>
    <n v="1"/>
    <x v="5"/>
  </r>
  <r>
    <s v="1.10.8.3"/>
    <s v="            Web Front End"/>
    <x v="3"/>
    <n v="1"/>
    <x v="3"/>
  </r>
  <r>
    <s v="1.10.9"/>
    <s v="        PNM-094: Configure Sub-System Master"/>
    <x v="2"/>
    <n v="3"/>
    <x v="1"/>
  </r>
  <r>
    <s v="1.10.9.1"/>
    <s v="            Database"/>
    <x v="3"/>
    <n v="1"/>
    <x v="2"/>
  </r>
  <r>
    <s v="1.10.9.2"/>
    <s v="            Backend API"/>
    <x v="3"/>
    <n v="1"/>
    <x v="5"/>
  </r>
  <r>
    <s v="1.10.9.3"/>
    <s v="            Web Front End"/>
    <x v="3"/>
    <n v="1"/>
    <x v="3"/>
  </r>
  <r>
    <s v="1.10.10"/>
    <s v="        PNM-095: Configure Location Master"/>
    <x v="2"/>
    <n v="3"/>
    <x v="1"/>
  </r>
  <r>
    <s v="1.10.10.1"/>
    <s v="            Database"/>
    <x v="3"/>
    <n v="1"/>
    <x v="2"/>
  </r>
  <r>
    <s v="1.10.10.2"/>
    <s v="            Backend API"/>
    <x v="3"/>
    <n v="1"/>
    <x v="5"/>
  </r>
  <r>
    <s v="1.10.10.3"/>
    <s v="            Web Front End"/>
    <x v="3"/>
    <n v="1"/>
    <x v="3"/>
  </r>
  <r>
    <s v="1.10.11"/>
    <s v="        PNM-096: Configure Fuel Type Master"/>
    <x v="2"/>
    <n v="3"/>
    <x v="1"/>
  </r>
  <r>
    <s v="1.10.11.1"/>
    <s v="            Database"/>
    <x v="3"/>
    <n v="1"/>
    <x v="2"/>
  </r>
  <r>
    <s v="1.10.11.2"/>
    <s v="            Backend API"/>
    <x v="3"/>
    <n v="1"/>
    <x v="5"/>
  </r>
  <r>
    <s v="1.10.11.3"/>
    <s v="            Web Front End"/>
    <x v="3"/>
    <n v="1"/>
    <x v="3"/>
  </r>
  <r>
    <s v="1.10.12"/>
    <s v="        PNM-097: Configure Material / Spare Parts Catalogue"/>
    <x v="2"/>
    <n v="3"/>
    <x v="1"/>
  </r>
  <r>
    <s v="1.10.12.1"/>
    <s v="            Database"/>
    <x v="3"/>
    <n v="1"/>
    <x v="2"/>
  </r>
  <r>
    <s v="1.10.12.2"/>
    <s v="            Backend API"/>
    <x v="3"/>
    <n v="1"/>
    <x v="5"/>
  </r>
  <r>
    <s v="1.10.12.3"/>
    <s v="            Web Front End"/>
    <x v="3"/>
    <n v="1"/>
    <x v="3"/>
  </r>
  <r>
    <s v="1.10.13"/>
    <s v="        PNM-098: Configure PM Schedule Master"/>
    <x v="2"/>
    <n v="3"/>
    <x v="1"/>
  </r>
  <r>
    <s v="1.10.13.1"/>
    <s v="            Database"/>
    <x v="3"/>
    <n v="1"/>
    <x v="2"/>
  </r>
  <r>
    <s v="1.10.13.2"/>
    <s v="            Backend API"/>
    <x v="3"/>
    <n v="1"/>
    <x v="5"/>
  </r>
  <r>
    <s v="1.10.13.3"/>
    <s v="            Web Front End"/>
    <x v="3"/>
    <n v="1"/>
    <x v="3"/>
  </r>
  <r>
    <s v="1.10.14"/>
    <s v="        PNM-099: Configure Opening Counter Readings (Equipment-Level)"/>
    <x v="2"/>
    <n v="3"/>
    <x v="1"/>
  </r>
  <r>
    <s v="1.10.14.1"/>
    <s v="            Database"/>
    <x v="3"/>
    <n v="1"/>
    <x v="2"/>
  </r>
  <r>
    <s v="1.10.14.2"/>
    <s v="            Backend API"/>
    <x v="3"/>
    <n v="1"/>
    <x v="5"/>
  </r>
  <r>
    <s v="1.10.14.3"/>
    <s v="            Web Front End"/>
    <x v="3"/>
    <n v="1"/>
    <x v="3"/>
  </r>
  <r>
    <s v="1.10.15"/>
    <s v="        PNM-100: Configure Maintenance Points (Equipment-Level)"/>
    <x v="2"/>
    <n v="3"/>
    <x v="1"/>
  </r>
  <r>
    <s v="1.10.15.1"/>
    <s v="            Database"/>
    <x v="3"/>
    <n v="1"/>
    <x v="2"/>
  </r>
  <r>
    <s v="1.10.15.2"/>
    <s v="            Backend API"/>
    <x v="3"/>
    <n v="1"/>
    <x v="5"/>
  </r>
  <r>
    <s v="1.10.15.3"/>
    <s v="            Web Front End"/>
    <x v="3"/>
    <n v="1"/>
    <x v="3"/>
  </r>
  <r>
    <s v="1.10.16"/>
    <s v="        PNM-101: Configure Sub-Part Details and Specification Values (Equipment-Level)"/>
    <x v="2"/>
    <n v="3"/>
    <x v="1"/>
  </r>
  <r>
    <s v="1.10.16.1"/>
    <s v="            Database"/>
    <x v="3"/>
    <n v="1"/>
    <x v="2"/>
  </r>
  <r>
    <s v="1.10.16.2"/>
    <s v="            Backend API"/>
    <x v="3"/>
    <n v="1"/>
    <x v="5"/>
  </r>
  <r>
    <s v="1.10.16.3"/>
    <s v="            Web Front End"/>
    <x v="3"/>
    <n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7872B-067F-468E-91D2-5E40FB2FC63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5">
    <pivotField showAll="0"/>
    <pivotField showAll="0"/>
    <pivotField axis="axisPage" showAll="0">
      <items count="5">
        <item x="1"/>
        <item x="0"/>
        <item x="3"/>
        <item x="2"/>
        <item t="default"/>
      </items>
    </pivotField>
    <pivotField dataField="1" showAll="0"/>
    <pivotField axis="axisRow" showAll="0">
      <items count="8">
        <item x="1"/>
        <item x="6"/>
        <item x="2"/>
        <item x="5"/>
        <item x="3"/>
        <item x="0"/>
        <item x="4"/>
        <item t="default"/>
      </items>
    </pivotField>
  </pivotFields>
  <rowFields count="1">
    <field x="4"/>
  </rowFields>
  <rowItems count="6">
    <i>
      <x v="1"/>
    </i>
    <i>
      <x v="2"/>
    </i>
    <i>
      <x v="3"/>
    </i>
    <i>
      <x v="4"/>
    </i>
    <i>
      <x v="6"/>
    </i>
    <i t="grand">
      <x/>
    </i>
  </rowItems>
  <colItems count="1">
    <i/>
  </colItems>
  <pageFields count="1">
    <pageField fld="2" item="2" hier="-1"/>
  </pageFields>
  <dataFields count="1">
    <dataField name="Sum of Estimated Hour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2C2D-321F-4F05-AF1D-2E158D4C3574}">
  <dimension ref="A1:C9"/>
  <sheetViews>
    <sheetView workbookViewId="0">
      <selection activeCell="A9" sqref="A9:C9"/>
    </sheetView>
  </sheetViews>
  <sheetFormatPr defaultRowHeight="15" x14ac:dyDescent="0.25"/>
  <cols>
    <col min="1" max="1" width="13.140625" bestFit="1" customWidth="1"/>
    <col min="2" max="2" width="22.42578125" bestFit="1" customWidth="1"/>
    <col min="3" max="3" width="15.140625" bestFit="1" customWidth="1"/>
  </cols>
  <sheetData>
    <row r="1" spans="1:3" x14ac:dyDescent="0.25">
      <c r="A1" s="12" t="s">
        <v>0</v>
      </c>
      <c r="B1" t="s">
        <v>1</v>
      </c>
    </row>
    <row r="3" spans="1:3" x14ac:dyDescent="0.25">
      <c r="A3" s="12" t="s">
        <v>2</v>
      </c>
      <c r="B3" t="s">
        <v>3</v>
      </c>
      <c r="C3" s="15" t="s">
        <v>510</v>
      </c>
    </row>
    <row r="4" spans="1:3" x14ac:dyDescent="0.25">
      <c r="A4" s="13" t="s">
        <v>7</v>
      </c>
      <c r="B4" s="14">
        <v>248</v>
      </c>
      <c r="C4" s="11">
        <f>+GETPIVOTDATA("Estimated Hours",$A$3,"Developer","Hardik")/7</f>
        <v>35.428571428571431</v>
      </c>
    </row>
    <row r="5" spans="1:3" x14ac:dyDescent="0.25">
      <c r="A5" s="13" t="s">
        <v>4</v>
      </c>
      <c r="B5" s="14">
        <v>262</v>
      </c>
      <c r="C5" s="11">
        <f>+GETPIVOTDATA("Estimated Hours",$A$3,"Developer","Parth")/7</f>
        <v>37.428571428571431</v>
      </c>
    </row>
    <row r="6" spans="1:3" x14ac:dyDescent="0.25">
      <c r="A6" s="13" t="s">
        <v>5</v>
      </c>
      <c r="B6" s="14">
        <v>200</v>
      </c>
      <c r="C6" s="11">
        <f>+GETPIVOTDATA("Estimated Hours",$A$3,"Developer","Ronak")/7</f>
        <v>28.571428571428573</v>
      </c>
    </row>
    <row r="7" spans="1:3" x14ac:dyDescent="0.25">
      <c r="A7" s="13" t="s">
        <v>6</v>
      </c>
      <c r="B7" s="14">
        <v>268</v>
      </c>
      <c r="C7" s="11">
        <f>+GETPIVOTDATA("Estimated Hours",$A$3,"Developer","Soumy")/7</f>
        <v>38.285714285714285</v>
      </c>
    </row>
    <row r="8" spans="1:3" x14ac:dyDescent="0.25">
      <c r="A8" s="13" t="s">
        <v>509</v>
      </c>
      <c r="B8" s="14">
        <v>67</v>
      </c>
      <c r="C8" s="11">
        <f>+GETPIVOTDATA("Estimated Hours",$A$3,"Developer","Inderjeet")/7</f>
        <v>9.5714285714285712</v>
      </c>
    </row>
    <row r="9" spans="1:3" x14ac:dyDescent="0.25">
      <c r="A9" s="13" t="s">
        <v>8</v>
      </c>
      <c r="B9" s="14">
        <v>1045</v>
      </c>
      <c r="C9" s="16">
        <f>MAX(C4:C8)</f>
        <v>38.285714285714285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" sqref="D1"/>
    </sheetView>
  </sheetViews>
  <sheetFormatPr defaultColWidth="8.7109375" defaultRowHeight="15" x14ac:dyDescent="0.25"/>
  <cols>
    <col min="1" max="1" width="12.42578125" bestFit="1" customWidth="1"/>
    <col min="2" max="2" width="80.28515625" bestFit="1" customWidth="1"/>
    <col min="3" max="3" width="10" bestFit="1" customWidth="1"/>
    <col min="4" max="4" width="20.28515625" bestFit="1" customWidth="1"/>
    <col min="5" max="5" width="14.85546875" bestFit="1" customWidth="1"/>
  </cols>
  <sheetData>
    <row r="1" spans="1:5" x14ac:dyDescent="0.25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</row>
    <row r="2" spans="1:5" x14ac:dyDescent="0.25">
      <c r="A2" s="2" t="s">
        <v>13</v>
      </c>
      <c r="B2" s="2" t="s">
        <v>14</v>
      </c>
      <c r="C2" s="2" t="s">
        <v>15</v>
      </c>
      <c r="D2" s="3">
        <f>D3+D63+D88+D136+D215+D254+D284+D327</f>
        <v>1045</v>
      </c>
      <c r="E2" s="2"/>
    </row>
    <row r="3" spans="1:5" x14ac:dyDescent="0.25">
      <c r="A3" s="4" t="s">
        <v>16</v>
      </c>
      <c r="B3" s="4" t="s">
        <v>17</v>
      </c>
      <c r="C3" s="4" t="s">
        <v>18</v>
      </c>
      <c r="D3" s="5">
        <f>D4+D8+D11+D14+D17+D20+D24+D28+D32+D36+D40+D44+D47+D51+D55+D59</f>
        <v>176</v>
      </c>
      <c r="E3" s="4"/>
    </row>
    <row r="4" spans="1:5" x14ac:dyDescent="0.25">
      <c r="A4" s="6" t="s">
        <v>19</v>
      </c>
      <c r="B4" s="6" t="s">
        <v>20</v>
      </c>
      <c r="C4" s="6" t="s">
        <v>21</v>
      </c>
      <c r="D4" s="7">
        <f>SUM(D5:D7)</f>
        <v>15</v>
      </c>
      <c r="E4" s="6" t="s">
        <v>12</v>
      </c>
    </row>
    <row r="5" spans="1:5" x14ac:dyDescent="0.25">
      <c r="A5" s="8" t="s">
        <v>22</v>
      </c>
      <c r="B5" s="8" t="s">
        <v>23</v>
      </c>
      <c r="C5" s="8" t="s">
        <v>1</v>
      </c>
      <c r="D5" s="9">
        <v>3</v>
      </c>
      <c r="E5" s="8" t="s">
        <v>4</v>
      </c>
    </row>
    <row r="6" spans="1:5" x14ac:dyDescent="0.25">
      <c r="A6" s="8" t="s">
        <v>24</v>
      </c>
      <c r="B6" s="8" t="s">
        <v>25</v>
      </c>
      <c r="C6" s="8" t="s">
        <v>1</v>
      </c>
      <c r="D6" s="9">
        <v>6</v>
      </c>
      <c r="E6" s="8" t="s">
        <v>4</v>
      </c>
    </row>
    <row r="7" spans="1:5" x14ac:dyDescent="0.25">
      <c r="A7" s="8" t="s">
        <v>26</v>
      </c>
      <c r="B7" s="8" t="s">
        <v>27</v>
      </c>
      <c r="C7" s="8" t="s">
        <v>1</v>
      </c>
      <c r="D7" s="9">
        <v>6</v>
      </c>
      <c r="E7" s="8" t="s">
        <v>6</v>
      </c>
    </row>
    <row r="8" spans="1:5" x14ac:dyDescent="0.25">
      <c r="A8" s="6" t="s">
        <v>28</v>
      </c>
      <c r="B8" s="6" t="s">
        <v>29</v>
      </c>
      <c r="C8" s="6" t="s">
        <v>21</v>
      </c>
      <c r="D8" s="7">
        <f>SUM(D9:D10)</f>
        <v>12</v>
      </c>
      <c r="E8" s="6" t="s">
        <v>12</v>
      </c>
    </row>
    <row r="9" spans="1:5" x14ac:dyDescent="0.25">
      <c r="A9" s="8" t="s">
        <v>30</v>
      </c>
      <c r="B9" s="8" t="s">
        <v>25</v>
      </c>
      <c r="C9" s="8" t="s">
        <v>1</v>
      </c>
      <c r="D9" s="9">
        <v>6</v>
      </c>
      <c r="E9" s="8" t="s">
        <v>4</v>
      </c>
    </row>
    <row r="10" spans="1:5" x14ac:dyDescent="0.25">
      <c r="A10" s="8" t="s">
        <v>31</v>
      </c>
      <c r="B10" s="8" t="s">
        <v>27</v>
      </c>
      <c r="C10" s="8" t="s">
        <v>1</v>
      </c>
      <c r="D10" s="9">
        <v>6</v>
      </c>
      <c r="E10" s="8" t="s">
        <v>6</v>
      </c>
    </row>
    <row r="11" spans="1:5" x14ac:dyDescent="0.25">
      <c r="A11" s="6" t="s">
        <v>32</v>
      </c>
      <c r="B11" s="6" t="s">
        <v>33</v>
      </c>
      <c r="C11" s="6" t="s">
        <v>21</v>
      </c>
      <c r="D11" s="7">
        <f>SUM(D12:D13)</f>
        <v>8</v>
      </c>
      <c r="E11" s="6" t="s">
        <v>12</v>
      </c>
    </row>
    <row r="12" spans="1:5" x14ac:dyDescent="0.25">
      <c r="A12" s="8" t="s">
        <v>34</v>
      </c>
      <c r="B12" s="8" t="s">
        <v>25</v>
      </c>
      <c r="C12" s="8" t="s">
        <v>1</v>
      </c>
      <c r="D12" s="9">
        <v>4</v>
      </c>
      <c r="E12" s="8" t="s">
        <v>4</v>
      </c>
    </row>
    <row r="13" spans="1:5" x14ac:dyDescent="0.25">
      <c r="A13" s="8" t="s">
        <v>35</v>
      </c>
      <c r="B13" s="8" t="s">
        <v>27</v>
      </c>
      <c r="C13" s="8" t="s">
        <v>1</v>
      </c>
      <c r="D13" s="9">
        <v>4</v>
      </c>
      <c r="E13" s="8" t="s">
        <v>6</v>
      </c>
    </row>
    <row r="14" spans="1:5" x14ac:dyDescent="0.25">
      <c r="A14" s="6" t="s">
        <v>36</v>
      </c>
      <c r="B14" s="6" t="s">
        <v>37</v>
      </c>
      <c r="C14" s="6" t="s">
        <v>21</v>
      </c>
      <c r="D14" s="7">
        <f>SUM(D15:D16)</f>
        <v>8</v>
      </c>
      <c r="E14" s="6" t="s">
        <v>12</v>
      </c>
    </row>
    <row r="15" spans="1:5" x14ac:dyDescent="0.25">
      <c r="A15" s="8" t="s">
        <v>38</v>
      </c>
      <c r="B15" s="8" t="s">
        <v>25</v>
      </c>
      <c r="C15" s="8" t="s">
        <v>1</v>
      </c>
      <c r="D15" s="9">
        <v>4</v>
      </c>
      <c r="E15" s="8" t="s">
        <v>4</v>
      </c>
    </row>
    <row r="16" spans="1:5" x14ac:dyDescent="0.25">
      <c r="A16" s="8" t="s">
        <v>39</v>
      </c>
      <c r="B16" s="8" t="s">
        <v>27</v>
      </c>
      <c r="C16" s="8" t="s">
        <v>1</v>
      </c>
      <c r="D16" s="9">
        <v>4</v>
      </c>
      <c r="E16" s="8" t="s">
        <v>6</v>
      </c>
    </row>
    <row r="17" spans="1:5" x14ac:dyDescent="0.25">
      <c r="A17" s="6" t="s">
        <v>40</v>
      </c>
      <c r="B17" s="6" t="s">
        <v>41</v>
      </c>
      <c r="C17" s="6" t="s">
        <v>21</v>
      </c>
      <c r="D17" s="7">
        <f>SUM(D18:D19)</f>
        <v>8</v>
      </c>
      <c r="E17" s="6" t="s">
        <v>12</v>
      </c>
    </row>
    <row r="18" spans="1:5" x14ac:dyDescent="0.25">
      <c r="A18" s="8" t="s">
        <v>42</v>
      </c>
      <c r="B18" s="8" t="s">
        <v>25</v>
      </c>
      <c r="C18" s="8" t="s">
        <v>1</v>
      </c>
      <c r="D18" s="9">
        <v>4</v>
      </c>
      <c r="E18" s="8" t="s">
        <v>4</v>
      </c>
    </row>
    <row r="19" spans="1:5" x14ac:dyDescent="0.25">
      <c r="A19" s="8" t="s">
        <v>43</v>
      </c>
      <c r="B19" s="8" t="s">
        <v>27</v>
      </c>
      <c r="C19" s="8" t="s">
        <v>1</v>
      </c>
      <c r="D19" s="9">
        <v>4</v>
      </c>
      <c r="E19" s="8" t="s">
        <v>6</v>
      </c>
    </row>
    <row r="20" spans="1:5" x14ac:dyDescent="0.25">
      <c r="A20" s="6" t="s">
        <v>44</v>
      </c>
      <c r="B20" s="6" t="s">
        <v>45</v>
      </c>
      <c r="C20" s="6" t="s">
        <v>21</v>
      </c>
      <c r="D20" s="7">
        <f>SUM(D21:D23)</f>
        <v>10</v>
      </c>
      <c r="E20" s="6" t="s">
        <v>12</v>
      </c>
    </row>
    <row r="21" spans="1:5" x14ac:dyDescent="0.25">
      <c r="A21" s="8" t="s">
        <v>46</v>
      </c>
      <c r="B21" s="8" t="s">
        <v>23</v>
      </c>
      <c r="C21" s="8" t="s">
        <v>1</v>
      </c>
      <c r="D21" s="9">
        <v>2</v>
      </c>
      <c r="E21" s="8" t="s">
        <v>4</v>
      </c>
    </row>
    <row r="22" spans="1:5" x14ac:dyDescent="0.25">
      <c r="A22" s="8" t="s">
        <v>47</v>
      </c>
      <c r="B22" s="8" t="s">
        <v>25</v>
      </c>
      <c r="C22" s="8" t="s">
        <v>1</v>
      </c>
      <c r="D22" s="9">
        <v>4</v>
      </c>
      <c r="E22" s="8" t="s">
        <v>4</v>
      </c>
    </row>
    <row r="23" spans="1:5" x14ac:dyDescent="0.25">
      <c r="A23" s="8" t="s">
        <v>48</v>
      </c>
      <c r="B23" s="8" t="s">
        <v>27</v>
      </c>
      <c r="C23" s="8" t="s">
        <v>1</v>
      </c>
      <c r="D23" s="9">
        <v>4</v>
      </c>
      <c r="E23" s="8" t="s">
        <v>6</v>
      </c>
    </row>
    <row r="24" spans="1:5" x14ac:dyDescent="0.25">
      <c r="A24" s="6" t="s">
        <v>49</v>
      </c>
      <c r="B24" s="6" t="s">
        <v>50</v>
      </c>
      <c r="C24" s="6" t="s">
        <v>21</v>
      </c>
      <c r="D24" s="7">
        <f>SUM(D25:D27)</f>
        <v>15</v>
      </c>
      <c r="E24" s="6" t="s">
        <v>12</v>
      </c>
    </row>
    <row r="25" spans="1:5" x14ac:dyDescent="0.25">
      <c r="A25" s="8" t="s">
        <v>51</v>
      </c>
      <c r="B25" s="8" t="s">
        <v>23</v>
      </c>
      <c r="C25" s="8" t="s">
        <v>1</v>
      </c>
      <c r="D25" s="9">
        <v>3</v>
      </c>
      <c r="E25" s="8" t="s">
        <v>4</v>
      </c>
    </row>
    <row r="26" spans="1:5" x14ac:dyDescent="0.25">
      <c r="A26" s="8" t="s">
        <v>52</v>
      </c>
      <c r="B26" s="8" t="s">
        <v>25</v>
      </c>
      <c r="C26" s="8" t="s">
        <v>1</v>
      </c>
      <c r="D26" s="9">
        <v>6</v>
      </c>
      <c r="E26" s="8" t="s">
        <v>4</v>
      </c>
    </row>
    <row r="27" spans="1:5" x14ac:dyDescent="0.25">
      <c r="A27" s="8" t="s">
        <v>53</v>
      </c>
      <c r="B27" s="8" t="s">
        <v>27</v>
      </c>
      <c r="C27" s="8" t="s">
        <v>1</v>
      </c>
      <c r="D27" s="9">
        <v>6</v>
      </c>
      <c r="E27" s="8" t="s">
        <v>509</v>
      </c>
    </row>
    <row r="28" spans="1:5" x14ac:dyDescent="0.25">
      <c r="A28" s="6" t="s">
        <v>54</v>
      </c>
      <c r="B28" s="6" t="s">
        <v>55</v>
      </c>
      <c r="C28" s="6" t="s">
        <v>21</v>
      </c>
      <c r="D28" s="7">
        <f>SUM(D29:D31)</f>
        <v>10</v>
      </c>
      <c r="E28" s="6" t="s">
        <v>12</v>
      </c>
    </row>
    <row r="29" spans="1:5" x14ac:dyDescent="0.25">
      <c r="A29" s="8" t="s">
        <v>56</v>
      </c>
      <c r="B29" s="8" t="s">
        <v>23</v>
      </c>
      <c r="C29" s="8" t="s">
        <v>1</v>
      </c>
      <c r="D29" s="9">
        <v>2</v>
      </c>
      <c r="E29" s="8" t="s">
        <v>4</v>
      </c>
    </row>
    <row r="30" spans="1:5" x14ac:dyDescent="0.25">
      <c r="A30" s="8" t="s">
        <v>57</v>
      </c>
      <c r="B30" s="8" t="s">
        <v>25</v>
      </c>
      <c r="C30" s="8" t="s">
        <v>1</v>
      </c>
      <c r="D30" s="9">
        <v>4</v>
      </c>
      <c r="E30" s="8" t="s">
        <v>4</v>
      </c>
    </row>
    <row r="31" spans="1:5" x14ac:dyDescent="0.25">
      <c r="A31" s="8" t="s">
        <v>58</v>
      </c>
      <c r="B31" s="8" t="s">
        <v>27</v>
      </c>
      <c r="C31" s="8" t="s">
        <v>1</v>
      </c>
      <c r="D31" s="9">
        <v>4</v>
      </c>
      <c r="E31" s="8" t="s">
        <v>6</v>
      </c>
    </row>
    <row r="32" spans="1:5" x14ac:dyDescent="0.25">
      <c r="A32" s="6" t="s">
        <v>59</v>
      </c>
      <c r="B32" s="6" t="s">
        <v>60</v>
      </c>
      <c r="C32" s="6" t="s">
        <v>21</v>
      </c>
      <c r="D32" s="7">
        <f>SUM(D33:D35)</f>
        <v>15</v>
      </c>
      <c r="E32" s="6" t="s">
        <v>12</v>
      </c>
    </row>
    <row r="33" spans="1:5" x14ac:dyDescent="0.25">
      <c r="A33" s="8" t="s">
        <v>61</v>
      </c>
      <c r="B33" s="8" t="s">
        <v>23</v>
      </c>
      <c r="C33" s="8" t="s">
        <v>1</v>
      </c>
      <c r="D33" s="9">
        <v>3</v>
      </c>
      <c r="E33" s="8" t="s">
        <v>4</v>
      </c>
    </row>
    <row r="34" spans="1:5" x14ac:dyDescent="0.25">
      <c r="A34" s="8" t="s">
        <v>62</v>
      </c>
      <c r="B34" s="8" t="s">
        <v>25</v>
      </c>
      <c r="C34" s="8" t="s">
        <v>1</v>
      </c>
      <c r="D34" s="9">
        <v>6</v>
      </c>
      <c r="E34" s="8" t="s">
        <v>4</v>
      </c>
    </row>
    <row r="35" spans="1:5" x14ac:dyDescent="0.25">
      <c r="A35" s="8" t="s">
        <v>63</v>
      </c>
      <c r="B35" s="8" t="s">
        <v>27</v>
      </c>
      <c r="C35" s="8" t="s">
        <v>1</v>
      </c>
      <c r="D35" s="9">
        <v>6</v>
      </c>
      <c r="E35" s="8" t="s">
        <v>509</v>
      </c>
    </row>
    <row r="36" spans="1:5" x14ac:dyDescent="0.25">
      <c r="A36" s="6" t="s">
        <v>64</v>
      </c>
      <c r="B36" s="6" t="s">
        <v>65</v>
      </c>
      <c r="C36" s="6" t="s">
        <v>21</v>
      </c>
      <c r="D36" s="7">
        <f>SUM(D37:D39)</f>
        <v>10</v>
      </c>
      <c r="E36" s="6" t="s">
        <v>12</v>
      </c>
    </row>
    <row r="37" spans="1:5" x14ac:dyDescent="0.25">
      <c r="A37" s="8" t="s">
        <v>66</v>
      </c>
      <c r="B37" s="8" t="s">
        <v>23</v>
      </c>
      <c r="C37" s="8" t="s">
        <v>1</v>
      </c>
      <c r="D37" s="9">
        <v>2</v>
      </c>
      <c r="E37" s="8" t="s">
        <v>4</v>
      </c>
    </row>
    <row r="38" spans="1:5" x14ac:dyDescent="0.25">
      <c r="A38" s="8" t="s">
        <v>67</v>
      </c>
      <c r="B38" s="8" t="s">
        <v>25</v>
      </c>
      <c r="C38" s="8" t="s">
        <v>1</v>
      </c>
      <c r="D38" s="9">
        <v>4</v>
      </c>
      <c r="E38" s="8" t="s">
        <v>4</v>
      </c>
    </row>
    <row r="39" spans="1:5" x14ac:dyDescent="0.25">
      <c r="A39" s="8" t="s">
        <v>68</v>
      </c>
      <c r="B39" s="8" t="s">
        <v>27</v>
      </c>
      <c r="C39" s="8" t="s">
        <v>1</v>
      </c>
      <c r="D39" s="9">
        <v>4</v>
      </c>
      <c r="E39" s="8" t="s">
        <v>6</v>
      </c>
    </row>
    <row r="40" spans="1:5" x14ac:dyDescent="0.25">
      <c r="A40" s="6" t="s">
        <v>69</v>
      </c>
      <c r="B40" s="6" t="s">
        <v>70</v>
      </c>
      <c r="C40" s="6" t="s">
        <v>21</v>
      </c>
      <c r="D40" s="7">
        <f>SUM(D41:D43)</f>
        <v>10</v>
      </c>
      <c r="E40" s="6" t="s">
        <v>12</v>
      </c>
    </row>
    <row r="41" spans="1:5" x14ac:dyDescent="0.25">
      <c r="A41" s="8" t="s">
        <v>71</v>
      </c>
      <c r="B41" s="8" t="s">
        <v>23</v>
      </c>
      <c r="C41" s="8" t="s">
        <v>1</v>
      </c>
      <c r="D41" s="9">
        <v>2</v>
      </c>
      <c r="E41" s="8" t="s">
        <v>4</v>
      </c>
    </row>
    <row r="42" spans="1:5" x14ac:dyDescent="0.25">
      <c r="A42" s="8" t="s">
        <v>72</v>
      </c>
      <c r="B42" s="8" t="s">
        <v>25</v>
      </c>
      <c r="C42" s="8" t="s">
        <v>1</v>
      </c>
      <c r="D42" s="9">
        <v>4</v>
      </c>
      <c r="E42" s="8" t="s">
        <v>4</v>
      </c>
    </row>
    <row r="43" spans="1:5" x14ac:dyDescent="0.25">
      <c r="A43" s="8" t="s">
        <v>73</v>
      </c>
      <c r="B43" s="8" t="s">
        <v>27</v>
      </c>
      <c r="C43" s="8" t="s">
        <v>1</v>
      </c>
      <c r="D43" s="9">
        <v>4</v>
      </c>
      <c r="E43" s="8" t="s">
        <v>6</v>
      </c>
    </row>
    <row r="44" spans="1:5" x14ac:dyDescent="0.25">
      <c r="A44" s="6" t="s">
        <v>74</v>
      </c>
      <c r="B44" s="6" t="s">
        <v>75</v>
      </c>
      <c r="C44" s="6" t="s">
        <v>21</v>
      </c>
      <c r="D44" s="7">
        <f>SUM(D45:D46)</f>
        <v>8</v>
      </c>
      <c r="E44" s="6" t="s">
        <v>12</v>
      </c>
    </row>
    <row r="45" spans="1:5" x14ac:dyDescent="0.25">
      <c r="A45" s="8" t="s">
        <v>76</v>
      </c>
      <c r="B45" s="8" t="s">
        <v>25</v>
      </c>
      <c r="C45" s="8" t="s">
        <v>1</v>
      </c>
      <c r="D45" s="9">
        <v>4</v>
      </c>
      <c r="E45" s="8" t="s">
        <v>5</v>
      </c>
    </row>
    <row r="46" spans="1:5" x14ac:dyDescent="0.25">
      <c r="A46" s="8" t="s">
        <v>77</v>
      </c>
      <c r="B46" s="8" t="s">
        <v>27</v>
      </c>
      <c r="C46" s="8" t="s">
        <v>1</v>
      </c>
      <c r="D46" s="9">
        <v>4</v>
      </c>
      <c r="E46" s="8" t="s">
        <v>6</v>
      </c>
    </row>
    <row r="47" spans="1:5" x14ac:dyDescent="0.25">
      <c r="A47" s="6" t="s">
        <v>78</v>
      </c>
      <c r="B47" s="6" t="s">
        <v>79</v>
      </c>
      <c r="C47" s="6" t="s">
        <v>21</v>
      </c>
      <c r="D47" s="7">
        <f>SUM(D48:D50)</f>
        <v>15</v>
      </c>
      <c r="E47" s="6" t="s">
        <v>12</v>
      </c>
    </row>
    <row r="48" spans="1:5" x14ac:dyDescent="0.25">
      <c r="A48" s="8" t="s">
        <v>80</v>
      </c>
      <c r="B48" s="8" t="s">
        <v>23</v>
      </c>
      <c r="C48" s="8" t="s">
        <v>1</v>
      </c>
      <c r="D48" s="9">
        <v>3</v>
      </c>
      <c r="E48" s="8" t="s">
        <v>4</v>
      </c>
    </row>
    <row r="49" spans="1:5" x14ac:dyDescent="0.25">
      <c r="A49" s="8" t="s">
        <v>81</v>
      </c>
      <c r="B49" s="8" t="s">
        <v>25</v>
      </c>
      <c r="C49" s="8" t="s">
        <v>1</v>
      </c>
      <c r="D49" s="9">
        <v>6</v>
      </c>
      <c r="E49" s="8" t="s">
        <v>4</v>
      </c>
    </row>
    <row r="50" spans="1:5" x14ac:dyDescent="0.25">
      <c r="A50" s="8" t="s">
        <v>82</v>
      </c>
      <c r="B50" s="8" t="s">
        <v>27</v>
      </c>
      <c r="C50" s="8" t="s">
        <v>1</v>
      </c>
      <c r="D50" s="9">
        <v>6</v>
      </c>
      <c r="E50" s="8" t="s">
        <v>509</v>
      </c>
    </row>
    <row r="51" spans="1:5" x14ac:dyDescent="0.25">
      <c r="A51" s="6" t="s">
        <v>83</v>
      </c>
      <c r="B51" s="6" t="s">
        <v>84</v>
      </c>
      <c r="C51" s="6" t="s">
        <v>21</v>
      </c>
      <c r="D51" s="7">
        <f>SUM(D52:D54)</f>
        <v>10</v>
      </c>
      <c r="E51" s="6" t="s">
        <v>12</v>
      </c>
    </row>
    <row r="52" spans="1:5" x14ac:dyDescent="0.25">
      <c r="A52" s="8" t="s">
        <v>85</v>
      </c>
      <c r="B52" s="8" t="s">
        <v>23</v>
      </c>
      <c r="C52" s="8" t="s">
        <v>1</v>
      </c>
      <c r="D52" s="9">
        <v>2</v>
      </c>
      <c r="E52" s="8" t="s">
        <v>4</v>
      </c>
    </row>
    <row r="53" spans="1:5" x14ac:dyDescent="0.25">
      <c r="A53" s="8" t="s">
        <v>86</v>
      </c>
      <c r="B53" s="8" t="s">
        <v>25</v>
      </c>
      <c r="C53" s="8" t="s">
        <v>1</v>
      </c>
      <c r="D53" s="9">
        <v>4</v>
      </c>
      <c r="E53" s="8" t="s">
        <v>4</v>
      </c>
    </row>
    <row r="54" spans="1:5" x14ac:dyDescent="0.25">
      <c r="A54" s="8" t="s">
        <v>87</v>
      </c>
      <c r="B54" s="8" t="s">
        <v>27</v>
      </c>
      <c r="C54" s="8" t="s">
        <v>1</v>
      </c>
      <c r="D54" s="9">
        <v>4</v>
      </c>
      <c r="E54" s="8" t="s">
        <v>6</v>
      </c>
    </row>
    <row r="55" spans="1:5" x14ac:dyDescent="0.25">
      <c r="A55" s="6" t="s">
        <v>88</v>
      </c>
      <c r="B55" s="6" t="s">
        <v>89</v>
      </c>
      <c r="C55" s="6" t="s">
        <v>21</v>
      </c>
      <c r="D55" s="7">
        <f>SUM(D56:D58)</f>
        <v>10</v>
      </c>
      <c r="E55" s="6" t="s">
        <v>12</v>
      </c>
    </row>
    <row r="56" spans="1:5" x14ac:dyDescent="0.25">
      <c r="A56" s="8" t="s">
        <v>90</v>
      </c>
      <c r="B56" s="8" t="s">
        <v>23</v>
      </c>
      <c r="C56" s="8" t="s">
        <v>1</v>
      </c>
      <c r="D56" s="9">
        <v>2</v>
      </c>
      <c r="E56" s="8" t="s">
        <v>4</v>
      </c>
    </row>
    <row r="57" spans="1:5" x14ac:dyDescent="0.25">
      <c r="A57" s="8" t="s">
        <v>91</v>
      </c>
      <c r="B57" s="8" t="s">
        <v>25</v>
      </c>
      <c r="C57" s="8" t="s">
        <v>1</v>
      </c>
      <c r="D57" s="9">
        <v>4</v>
      </c>
      <c r="E57" s="8" t="s">
        <v>4</v>
      </c>
    </row>
    <row r="58" spans="1:5" x14ac:dyDescent="0.25">
      <c r="A58" s="8" t="s">
        <v>92</v>
      </c>
      <c r="B58" s="8" t="s">
        <v>27</v>
      </c>
      <c r="C58" s="8" t="s">
        <v>1</v>
      </c>
      <c r="D58" s="9">
        <v>4</v>
      </c>
      <c r="E58" s="8" t="s">
        <v>509</v>
      </c>
    </row>
    <row r="59" spans="1:5" x14ac:dyDescent="0.25">
      <c r="A59" s="6" t="s">
        <v>93</v>
      </c>
      <c r="B59" s="6" t="s">
        <v>94</v>
      </c>
      <c r="C59" s="6" t="s">
        <v>21</v>
      </c>
      <c r="D59" s="7">
        <f>SUM(D60:D62)</f>
        <v>12</v>
      </c>
      <c r="E59" s="6" t="s">
        <v>12</v>
      </c>
    </row>
    <row r="60" spans="1:5" x14ac:dyDescent="0.25">
      <c r="A60" s="8" t="s">
        <v>95</v>
      </c>
      <c r="B60" s="8" t="s">
        <v>25</v>
      </c>
      <c r="C60" s="8" t="s">
        <v>1</v>
      </c>
      <c r="D60" s="9">
        <v>4</v>
      </c>
      <c r="E60" s="8" t="s">
        <v>5</v>
      </c>
    </row>
    <row r="61" spans="1:5" x14ac:dyDescent="0.25">
      <c r="A61" s="8" t="s">
        <v>96</v>
      </c>
      <c r="B61" s="8" t="s">
        <v>27</v>
      </c>
      <c r="C61" s="8" t="s">
        <v>1</v>
      </c>
      <c r="D61" s="9">
        <v>4</v>
      </c>
      <c r="E61" s="8" t="s">
        <v>6</v>
      </c>
    </row>
    <row r="62" spans="1:5" x14ac:dyDescent="0.25">
      <c r="A62" s="8" t="s">
        <v>97</v>
      </c>
      <c r="B62" s="8" t="s">
        <v>98</v>
      </c>
      <c r="C62" s="8" t="s">
        <v>1</v>
      </c>
      <c r="D62" s="9">
        <v>4</v>
      </c>
      <c r="E62" s="8" t="s">
        <v>7</v>
      </c>
    </row>
    <row r="63" spans="1:5" x14ac:dyDescent="0.25">
      <c r="A63" s="4" t="s">
        <v>99</v>
      </c>
      <c r="B63" s="4" t="s">
        <v>100</v>
      </c>
      <c r="C63" s="4" t="s">
        <v>18</v>
      </c>
      <c r="D63" s="5">
        <f>D64+D69+D74+D79+D84</f>
        <v>76</v>
      </c>
      <c r="E63" s="4"/>
    </row>
    <row r="64" spans="1:5" x14ac:dyDescent="0.25">
      <c r="A64" s="6" t="s">
        <v>101</v>
      </c>
      <c r="B64" s="6" t="s">
        <v>102</v>
      </c>
      <c r="C64" s="6" t="s">
        <v>21</v>
      </c>
      <c r="D64" s="7">
        <f>SUM(D65:D68)</f>
        <v>15</v>
      </c>
      <c r="E64" s="6" t="s">
        <v>12</v>
      </c>
    </row>
    <row r="65" spans="1:5" x14ac:dyDescent="0.25">
      <c r="A65" s="8" t="s">
        <v>103</v>
      </c>
      <c r="B65" s="8" t="s">
        <v>23</v>
      </c>
      <c r="C65" s="8" t="s">
        <v>1</v>
      </c>
      <c r="D65" s="9">
        <v>2</v>
      </c>
      <c r="E65" s="8" t="s">
        <v>4</v>
      </c>
    </row>
    <row r="66" spans="1:5" x14ac:dyDescent="0.25">
      <c r="A66" s="8" t="s">
        <v>104</v>
      </c>
      <c r="B66" s="8" t="s">
        <v>25</v>
      </c>
      <c r="C66" s="8" t="s">
        <v>1</v>
      </c>
      <c r="D66" s="9">
        <v>4</v>
      </c>
      <c r="E66" s="8" t="s">
        <v>4</v>
      </c>
    </row>
    <row r="67" spans="1:5" x14ac:dyDescent="0.25">
      <c r="A67" s="8" t="s">
        <v>105</v>
      </c>
      <c r="B67" s="8" t="s">
        <v>27</v>
      </c>
      <c r="C67" s="8" t="s">
        <v>1</v>
      </c>
      <c r="D67" s="9">
        <v>5</v>
      </c>
      <c r="E67" s="8" t="s">
        <v>509</v>
      </c>
    </row>
    <row r="68" spans="1:5" x14ac:dyDescent="0.25">
      <c r="A68" s="8" t="s">
        <v>106</v>
      </c>
      <c r="B68" s="8" t="s">
        <v>98</v>
      </c>
      <c r="C68" s="8" t="s">
        <v>1</v>
      </c>
      <c r="D68" s="9">
        <v>4</v>
      </c>
      <c r="E68" s="8" t="s">
        <v>7</v>
      </c>
    </row>
    <row r="69" spans="1:5" x14ac:dyDescent="0.25">
      <c r="A69" s="6" t="s">
        <v>107</v>
      </c>
      <c r="B69" s="6" t="s">
        <v>108</v>
      </c>
      <c r="C69" s="6" t="s">
        <v>21</v>
      </c>
      <c r="D69" s="7">
        <f>SUM(D70:D73)</f>
        <v>21</v>
      </c>
      <c r="E69" s="6" t="s">
        <v>12</v>
      </c>
    </row>
    <row r="70" spans="1:5" x14ac:dyDescent="0.25">
      <c r="A70" s="8" t="s">
        <v>109</v>
      </c>
      <c r="B70" s="8" t="s">
        <v>23</v>
      </c>
      <c r="C70" s="8" t="s">
        <v>1</v>
      </c>
      <c r="D70" s="9">
        <v>3</v>
      </c>
      <c r="E70" s="8" t="s">
        <v>4</v>
      </c>
    </row>
    <row r="71" spans="1:5" x14ac:dyDescent="0.25">
      <c r="A71" s="8" t="s">
        <v>110</v>
      </c>
      <c r="B71" s="8" t="s">
        <v>25</v>
      </c>
      <c r="C71" s="8" t="s">
        <v>1</v>
      </c>
      <c r="D71" s="9">
        <v>6</v>
      </c>
      <c r="E71" s="8" t="s">
        <v>4</v>
      </c>
    </row>
    <row r="72" spans="1:5" x14ac:dyDescent="0.25">
      <c r="A72" s="8" t="s">
        <v>111</v>
      </c>
      <c r="B72" s="8" t="s">
        <v>27</v>
      </c>
      <c r="C72" s="8" t="s">
        <v>1</v>
      </c>
      <c r="D72" s="9">
        <v>6</v>
      </c>
      <c r="E72" s="8" t="s">
        <v>6</v>
      </c>
    </row>
    <row r="73" spans="1:5" x14ac:dyDescent="0.25">
      <c r="A73" s="8" t="s">
        <v>112</v>
      </c>
      <c r="B73" s="8" t="s">
        <v>98</v>
      </c>
      <c r="C73" s="8" t="s">
        <v>1</v>
      </c>
      <c r="D73" s="9">
        <v>6</v>
      </c>
      <c r="E73" s="8" t="s">
        <v>7</v>
      </c>
    </row>
    <row r="74" spans="1:5" x14ac:dyDescent="0.25">
      <c r="A74" s="6" t="s">
        <v>113</v>
      </c>
      <c r="B74" s="6" t="s">
        <v>114</v>
      </c>
      <c r="C74" s="6" t="s">
        <v>21</v>
      </c>
      <c r="D74" s="7">
        <f>SUM(D75:D78)</f>
        <v>14</v>
      </c>
      <c r="E74" s="6" t="s">
        <v>12</v>
      </c>
    </row>
    <row r="75" spans="1:5" x14ac:dyDescent="0.25">
      <c r="A75" s="8" t="s">
        <v>115</v>
      </c>
      <c r="B75" s="8" t="s">
        <v>23</v>
      </c>
      <c r="C75" s="8" t="s">
        <v>1</v>
      </c>
      <c r="D75" s="9">
        <v>2</v>
      </c>
      <c r="E75" s="8" t="s">
        <v>4</v>
      </c>
    </row>
    <row r="76" spans="1:5" x14ac:dyDescent="0.25">
      <c r="A76" s="8" t="s">
        <v>116</v>
      </c>
      <c r="B76" s="8" t="s">
        <v>25</v>
      </c>
      <c r="C76" s="8" t="s">
        <v>1</v>
      </c>
      <c r="D76" s="9">
        <v>4</v>
      </c>
      <c r="E76" s="8" t="s">
        <v>4</v>
      </c>
    </row>
    <row r="77" spans="1:5" x14ac:dyDescent="0.25">
      <c r="A77" s="8" t="s">
        <v>117</v>
      </c>
      <c r="B77" s="8" t="s">
        <v>27</v>
      </c>
      <c r="C77" s="8" t="s">
        <v>1</v>
      </c>
      <c r="D77" s="9">
        <v>4</v>
      </c>
      <c r="E77" s="8" t="s">
        <v>6</v>
      </c>
    </row>
    <row r="78" spans="1:5" x14ac:dyDescent="0.25">
      <c r="A78" s="8" t="s">
        <v>118</v>
      </c>
      <c r="B78" s="8" t="s">
        <v>98</v>
      </c>
      <c r="C78" s="8" t="s">
        <v>1</v>
      </c>
      <c r="D78" s="9">
        <v>4</v>
      </c>
      <c r="E78" s="8" t="s">
        <v>7</v>
      </c>
    </row>
    <row r="79" spans="1:5" x14ac:dyDescent="0.25">
      <c r="A79" s="6" t="s">
        <v>119</v>
      </c>
      <c r="B79" s="6" t="s">
        <v>120</v>
      </c>
      <c r="C79" s="6" t="s">
        <v>21</v>
      </c>
      <c r="D79" s="7">
        <f>SUM(D80:D83)</f>
        <v>14</v>
      </c>
      <c r="E79" s="6" t="s">
        <v>12</v>
      </c>
    </row>
    <row r="80" spans="1:5" x14ac:dyDescent="0.25">
      <c r="A80" s="8" t="s">
        <v>121</v>
      </c>
      <c r="B80" s="8" t="s">
        <v>23</v>
      </c>
      <c r="C80" s="8" t="s">
        <v>1</v>
      </c>
      <c r="D80" s="9">
        <v>2</v>
      </c>
      <c r="E80" s="8" t="s">
        <v>4</v>
      </c>
    </row>
    <row r="81" spans="1:5" x14ac:dyDescent="0.25">
      <c r="A81" s="8" t="s">
        <v>122</v>
      </c>
      <c r="B81" s="8" t="s">
        <v>25</v>
      </c>
      <c r="C81" s="8" t="s">
        <v>1</v>
      </c>
      <c r="D81" s="9">
        <v>4</v>
      </c>
      <c r="E81" s="8" t="s">
        <v>4</v>
      </c>
    </row>
    <row r="82" spans="1:5" x14ac:dyDescent="0.25">
      <c r="A82" s="8" t="s">
        <v>123</v>
      </c>
      <c r="B82" s="8" t="s">
        <v>27</v>
      </c>
      <c r="C82" s="8" t="s">
        <v>1</v>
      </c>
      <c r="D82" s="9">
        <v>4</v>
      </c>
      <c r="E82" s="8" t="s">
        <v>509</v>
      </c>
    </row>
    <row r="83" spans="1:5" x14ac:dyDescent="0.25">
      <c r="A83" s="8" t="s">
        <v>124</v>
      </c>
      <c r="B83" s="8" t="s">
        <v>98</v>
      </c>
      <c r="C83" s="8" t="s">
        <v>1</v>
      </c>
      <c r="D83" s="9">
        <v>4</v>
      </c>
      <c r="E83" s="8" t="s">
        <v>7</v>
      </c>
    </row>
    <row r="84" spans="1:5" x14ac:dyDescent="0.25">
      <c r="A84" s="6" t="s">
        <v>125</v>
      </c>
      <c r="B84" s="6" t="s">
        <v>126</v>
      </c>
      <c r="C84" s="6" t="s">
        <v>21</v>
      </c>
      <c r="D84" s="7">
        <f>SUM(D85:D87)</f>
        <v>12</v>
      </c>
      <c r="E84" s="6" t="s">
        <v>12</v>
      </c>
    </row>
    <row r="85" spans="1:5" x14ac:dyDescent="0.25">
      <c r="A85" s="8" t="s">
        <v>127</v>
      </c>
      <c r="B85" s="8" t="s">
        <v>25</v>
      </c>
      <c r="C85" s="8" t="s">
        <v>1</v>
      </c>
      <c r="D85" s="9">
        <v>4</v>
      </c>
      <c r="E85" s="8" t="s">
        <v>5</v>
      </c>
    </row>
    <row r="86" spans="1:5" x14ac:dyDescent="0.25">
      <c r="A86" s="8" t="s">
        <v>128</v>
      </c>
      <c r="B86" s="8" t="s">
        <v>27</v>
      </c>
      <c r="C86" s="8" t="s">
        <v>1</v>
      </c>
      <c r="D86" s="9">
        <v>4</v>
      </c>
      <c r="E86" s="8" t="s">
        <v>6</v>
      </c>
    </row>
    <row r="87" spans="1:5" x14ac:dyDescent="0.25">
      <c r="A87" s="8" t="s">
        <v>129</v>
      </c>
      <c r="B87" s="8" t="s">
        <v>98</v>
      </c>
      <c r="C87" s="8" t="s">
        <v>1</v>
      </c>
      <c r="D87" s="9">
        <v>4</v>
      </c>
      <c r="E87" s="8" t="s">
        <v>7</v>
      </c>
    </row>
    <row r="88" spans="1:5" x14ac:dyDescent="0.25">
      <c r="A88" s="4" t="s">
        <v>130</v>
      </c>
      <c r="B88" s="4" t="s">
        <v>131</v>
      </c>
      <c r="C88" s="4" t="s">
        <v>18</v>
      </c>
      <c r="D88" s="5">
        <f>D89+D94+D99+D104+D109+D114+D119+D123+D128+D132</f>
        <v>155</v>
      </c>
      <c r="E88" s="4"/>
    </row>
    <row r="89" spans="1:5" x14ac:dyDescent="0.25">
      <c r="A89" s="6" t="s">
        <v>132</v>
      </c>
      <c r="B89" s="6" t="s">
        <v>133</v>
      </c>
      <c r="C89" s="6" t="s">
        <v>21</v>
      </c>
      <c r="D89" s="7">
        <f>SUM(D90:D93)</f>
        <v>14</v>
      </c>
      <c r="E89" s="6" t="s">
        <v>12</v>
      </c>
    </row>
    <row r="90" spans="1:5" x14ac:dyDescent="0.25">
      <c r="A90" s="8" t="s">
        <v>134</v>
      </c>
      <c r="B90" s="8" t="s">
        <v>23</v>
      </c>
      <c r="C90" s="8" t="s">
        <v>1</v>
      </c>
      <c r="D90" s="9">
        <v>2</v>
      </c>
      <c r="E90" s="8" t="s">
        <v>4</v>
      </c>
    </row>
    <row r="91" spans="1:5" x14ac:dyDescent="0.25">
      <c r="A91" s="8" t="s">
        <v>135</v>
      </c>
      <c r="B91" s="8" t="s">
        <v>25</v>
      </c>
      <c r="C91" s="8" t="s">
        <v>1</v>
      </c>
      <c r="D91" s="9">
        <v>4</v>
      </c>
      <c r="E91" s="8" t="s">
        <v>4</v>
      </c>
    </row>
    <row r="92" spans="1:5" x14ac:dyDescent="0.25">
      <c r="A92" s="8" t="s">
        <v>136</v>
      </c>
      <c r="B92" s="8" t="s">
        <v>27</v>
      </c>
      <c r="C92" s="8" t="s">
        <v>1</v>
      </c>
      <c r="D92" s="9">
        <v>4</v>
      </c>
      <c r="E92" s="8" t="s">
        <v>6</v>
      </c>
    </row>
    <row r="93" spans="1:5" x14ac:dyDescent="0.25">
      <c r="A93" s="8" t="s">
        <v>137</v>
      </c>
      <c r="B93" s="8" t="s">
        <v>98</v>
      </c>
      <c r="C93" s="8" t="s">
        <v>1</v>
      </c>
      <c r="D93" s="9">
        <v>4</v>
      </c>
      <c r="E93" s="8" t="s">
        <v>7</v>
      </c>
    </row>
    <row r="94" spans="1:5" x14ac:dyDescent="0.25">
      <c r="A94" s="6" t="s">
        <v>138</v>
      </c>
      <c r="B94" s="6" t="s">
        <v>139</v>
      </c>
      <c r="C94" s="6" t="s">
        <v>21</v>
      </c>
      <c r="D94" s="7">
        <f>SUM(D95:D98)</f>
        <v>14</v>
      </c>
      <c r="E94" s="6" t="s">
        <v>12</v>
      </c>
    </row>
    <row r="95" spans="1:5" x14ac:dyDescent="0.25">
      <c r="A95" s="8" t="s">
        <v>140</v>
      </c>
      <c r="B95" s="8" t="s">
        <v>23</v>
      </c>
      <c r="C95" s="8" t="s">
        <v>1</v>
      </c>
      <c r="D95" s="9">
        <v>2</v>
      </c>
      <c r="E95" s="8" t="s">
        <v>4</v>
      </c>
    </row>
    <row r="96" spans="1:5" x14ac:dyDescent="0.25">
      <c r="A96" s="8" t="s">
        <v>141</v>
      </c>
      <c r="B96" s="8" t="s">
        <v>25</v>
      </c>
      <c r="C96" s="8" t="s">
        <v>1</v>
      </c>
      <c r="D96" s="9">
        <v>4</v>
      </c>
      <c r="E96" s="8" t="s">
        <v>4</v>
      </c>
    </row>
    <row r="97" spans="1:5" x14ac:dyDescent="0.25">
      <c r="A97" s="8" t="s">
        <v>142</v>
      </c>
      <c r="B97" s="8" t="s">
        <v>27</v>
      </c>
      <c r="C97" s="8" t="s">
        <v>1</v>
      </c>
      <c r="D97" s="9">
        <v>4</v>
      </c>
      <c r="E97" s="8" t="s">
        <v>509</v>
      </c>
    </row>
    <row r="98" spans="1:5" x14ac:dyDescent="0.25">
      <c r="A98" s="8" t="s">
        <v>143</v>
      </c>
      <c r="B98" s="8" t="s">
        <v>98</v>
      </c>
      <c r="C98" s="8" t="s">
        <v>1</v>
      </c>
      <c r="D98" s="9">
        <v>4</v>
      </c>
      <c r="E98" s="8" t="s">
        <v>7</v>
      </c>
    </row>
    <row r="99" spans="1:5" x14ac:dyDescent="0.25">
      <c r="A99" s="6" t="s">
        <v>144</v>
      </c>
      <c r="B99" s="6" t="s">
        <v>145</v>
      </c>
      <c r="C99" s="6" t="s">
        <v>21</v>
      </c>
      <c r="D99" s="7">
        <f>SUM(D100:D103)</f>
        <v>14</v>
      </c>
      <c r="E99" s="6" t="s">
        <v>12</v>
      </c>
    </row>
    <row r="100" spans="1:5" x14ac:dyDescent="0.25">
      <c r="A100" s="8" t="s">
        <v>146</v>
      </c>
      <c r="B100" s="8" t="s">
        <v>23</v>
      </c>
      <c r="C100" s="8" t="s">
        <v>1</v>
      </c>
      <c r="D100" s="9">
        <v>2</v>
      </c>
      <c r="E100" s="8" t="s">
        <v>4</v>
      </c>
    </row>
    <row r="101" spans="1:5" x14ac:dyDescent="0.25">
      <c r="A101" s="8" t="s">
        <v>147</v>
      </c>
      <c r="B101" s="8" t="s">
        <v>25</v>
      </c>
      <c r="C101" s="8" t="s">
        <v>1</v>
      </c>
      <c r="D101" s="9">
        <v>4</v>
      </c>
      <c r="E101" s="8" t="s">
        <v>4</v>
      </c>
    </row>
    <row r="102" spans="1:5" x14ac:dyDescent="0.25">
      <c r="A102" s="8" t="s">
        <v>148</v>
      </c>
      <c r="B102" s="8" t="s">
        <v>27</v>
      </c>
      <c r="C102" s="8" t="s">
        <v>1</v>
      </c>
      <c r="D102" s="9">
        <v>4</v>
      </c>
      <c r="E102" s="8" t="s">
        <v>509</v>
      </c>
    </row>
    <row r="103" spans="1:5" x14ac:dyDescent="0.25">
      <c r="A103" s="8" t="s">
        <v>149</v>
      </c>
      <c r="B103" s="8" t="s">
        <v>98</v>
      </c>
      <c r="C103" s="8" t="s">
        <v>1</v>
      </c>
      <c r="D103" s="9">
        <v>4</v>
      </c>
      <c r="E103" s="8" t="s">
        <v>7</v>
      </c>
    </row>
    <row r="104" spans="1:5" x14ac:dyDescent="0.25">
      <c r="A104" s="6" t="s">
        <v>150</v>
      </c>
      <c r="B104" s="6" t="s">
        <v>151</v>
      </c>
      <c r="C104" s="6" t="s">
        <v>21</v>
      </c>
      <c r="D104" s="7">
        <f>SUM(D105:D108)</f>
        <v>14</v>
      </c>
      <c r="E104" s="6" t="s">
        <v>12</v>
      </c>
    </row>
    <row r="105" spans="1:5" x14ac:dyDescent="0.25">
      <c r="A105" s="8" t="s">
        <v>152</v>
      </c>
      <c r="B105" s="8" t="s">
        <v>23</v>
      </c>
      <c r="C105" s="8" t="s">
        <v>1</v>
      </c>
      <c r="D105" s="9">
        <v>2</v>
      </c>
      <c r="E105" s="8" t="s">
        <v>4</v>
      </c>
    </row>
    <row r="106" spans="1:5" x14ac:dyDescent="0.25">
      <c r="A106" s="8" t="s">
        <v>153</v>
      </c>
      <c r="B106" s="8" t="s">
        <v>25</v>
      </c>
      <c r="C106" s="8" t="s">
        <v>1</v>
      </c>
      <c r="D106" s="9">
        <v>4</v>
      </c>
      <c r="E106" s="8" t="s">
        <v>4</v>
      </c>
    </row>
    <row r="107" spans="1:5" x14ac:dyDescent="0.25">
      <c r="A107" s="8" t="s">
        <v>154</v>
      </c>
      <c r="B107" s="8" t="s">
        <v>27</v>
      </c>
      <c r="C107" s="8" t="s">
        <v>1</v>
      </c>
      <c r="D107" s="9">
        <v>4</v>
      </c>
      <c r="E107" s="8" t="s">
        <v>6</v>
      </c>
    </row>
    <row r="108" spans="1:5" x14ac:dyDescent="0.25">
      <c r="A108" s="8" t="s">
        <v>155</v>
      </c>
      <c r="B108" s="8" t="s">
        <v>98</v>
      </c>
      <c r="C108" s="8" t="s">
        <v>1</v>
      </c>
      <c r="D108" s="9">
        <v>4</v>
      </c>
      <c r="E108" s="8" t="s">
        <v>7</v>
      </c>
    </row>
    <row r="109" spans="1:5" x14ac:dyDescent="0.25">
      <c r="A109" s="6" t="s">
        <v>156</v>
      </c>
      <c r="B109" s="6" t="s">
        <v>157</v>
      </c>
      <c r="C109" s="6" t="s">
        <v>21</v>
      </c>
      <c r="D109" s="7">
        <f>SUM(D110:D113)</f>
        <v>21</v>
      </c>
      <c r="E109" s="6" t="s">
        <v>12</v>
      </c>
    </row>
    <row r="110" spans="1:5" x14ac:dyDescent="0.25">
      <c r="A110" s="8" t="s">
        <v>158</v>
      </c>
      <c r="B110" s="8" t="s">
        <v>23</v>
      </c>
      <c r="C110" s="8" t="s">
        <v>1</v>
      </c>
      <c r="D110" s="9">
        <v>3</v>
      </c>
      <c r="E110" s="8" t="s">
        <v>4</v>
      </c>
    </row>
    <row r="111" spans="1:5" x14ac:dyDescent="0.25">
      <c r="A111" s="8" t="s">
        <v>159</v>
      </c>
      <c r="B111" s="8" t="s">
        <v>25</v>
      </c>
      <c r="C111" s="8" t="s">
        <v>1</v>
      </c>
      <c r="D111" s="9">
        <v>6</v>
      </c>
      <c r="E111" s="8" t="s">
        <v>4</v>
      </c>
    </row>
    <row r="112" spans="1:5" x14ac:dyDescent="0.25">
      <c r="A112" s="8" t="s">
        <v>160</v>
      </c>
      <c r="B112" s="8" t="s">
        <v>27</v>
      </c>
      <c r="C112" s="8" t="s">
        <v>1</v>
      </c>
      <c r="D112" s="9">
        <v>6</v>
      </c>
      <c r="E112" s="8" t="s">
        <v>6</v>
      </c>
    </row>
    <row r="113" spans="1:5" x14ac:dyDescent="0.25">
      <c r="A113" s="8" t="s">
        <v>161</v>
      </c>
      <c r="B113" s="8" t="s">
        <v>98</v>
      </c>
      <c r="C113" s="8" t="s">
        <v>1</v>
      </c>
      <c r="D113" s="9">
        <v>6</v>
      </c>
      <c r="E113" s="8" t="s">
        <v>7</v>
      </c>
    </row>
    <row r="114" spans="1:5" x14ac:dyDescent="0.25">
      <c r="A114" s="6" t="s">
        <v>162</v>
      </c>
      <c r="B114" s="6" t="s">
        <v>163</v>
      </c>
      <c r="C114" s="6" t="s">
        <v>21</v>
      </c>
      <c r="D114" s="7">
        <f>SUM(D115:D118)</f>
        <v>21</v>
      </c>
      <c r="E114" s="6" t="s">
        <v>12</v>
      </c>
    </row>
    <row r="115" spans="1:5" x14ac:dyDescent="0.25">
      <c r="A115" s="8" t="s">
        <v>164</v>
      </c>
      <c r="B115" s="8" t="s">
        <v>23</v>
      </c>
      <c r="C115" s="8" t="s">
        <v>1</v>
      </c>
      <c r="D115" s="9">
        <v>3</v>
      </c>
      <c r="E115" s="8" t="s">
        <v>4</v>
      </c>
    </row>
    <row r="116" spans="1:5" x14ac:dyDescent="0.25">
      <c r="A116" s="8" t="s">
        <v>165</v>
      </c>
      <c r="B116" s="8" t="s">
        <v>25</v>
      </c>
      <c r="C116" s="8" t="s">
        <v>1</v>
      </c>
      <c r="D116" s="9">
        <v>6</v>
      </c>
      <c r="E116" s="8" t="s">
        <v>4</v>
      </c>
    </row>
    <row r="117" spans="1:5" x14ac:dyDescent="0.25">
      <c r="A117" s="8" t="s">
        <v>166</v>
      </c>
      <c r="B117" s="8" t="s">
        <v>27</v>
      </c>
      <c r="C117" s="8" t="s">
        <v>1</v>
      </c>
      <c r="D117" s="9">
        <v>6</v>
      </c>
      <c r="E117" s="8" t="s">
        <v>6</v>
      </c>
    </row>
    <row r="118" spans="1:5" x14ac:dyDescent="0.25">
      <c r="A118" s="8" t="s">
        <v>167</v>
      </c>
      <c r="B118" s="8" t="s">
        <v>98</v>
      </c>
      <c r="C118" s="8" t="s">
        <v>1</v>
      </c>
      <c r="D118" s="9">
        <v>6</v>
      </c>
      <c r="E118" s="8" t="s">
        <v>7</v>
      </c>
    </row>
    <row r="119" spans="1:5" x14ac:dyDescent="0.25">
      <c r="A119" s="6" t="s">
        <v>168</v>
      </c>
      <c r="B119" s="6" t="s">
        <v>169</v>
      </c>
      <c r="C119" s="6" t="s">
        <v>21</v>
      </c>
      <c r="D119" s="7">
        <f>SUM(D120:D122)</f>
        <v>12</v>
      </c>
      <c r="E119" s="6" t="s">
        <v>12</v>
      </c>
    </row>
    <row r="120" spans="1:5" x14ac:dyDescent="0.25">
      <c r="A120" s="8" t="s">
        <v>170</v>
      </c>
      <c r="B120" s="8" t="s">
        <v>25</v>
      </c>
      <c r="C120" s="8" t="s">
        <v>1</v>
      </c>
      <c r="D120" s="9">
        <v>4</v>
      </c>
      <c r="E120" s="8" t="s">
        <v>5</v>
      </c>
    </row>
    <row r="121" spans="1:5" x14ac:dyDescent="0.25">
      <c r="A121" s="8" t="s">
        <v>171</v>
      </c>
      <c r="B121" s="8" t="s">
        <v>27</v>
      </c>
      <c r="C121" s="8" t="s">
        <v>1</v>
      </c>
      <c r="D121" s="9">
        <v>4</v>
      </c>
      <c r="E121" s="8" t="s">
        <v>6</v>
      </c>
    </row>
    <row r="122" spans="1:5" x14ac:dyDescent="0.25">
      <c r="A122" s="8" t="s">
        <v>172</v>
      </c>
      <c r="B122" s="8" t="s">
        <v>98</v>
      </c>
      <c r="C122" s="8" t="s">
        <v>1</v>
      </c>
      <c r="D122" s="9">
        <v>4</v>
      </c>
      <c r="E122" s="8" t="s">
        <v>7</v>
      </c>
    </row>
    <row r="123" spans="1:5" x14ac:dyDescent="0.25">
      <c r="A123" s="6" t="s">
        <v>173</v>
      </c>
      <c r="B123" s="6" t="s">
        <v>174</v>
      </c>
      <c r="C123" s="6" t="s">
        <v>21</v>
      </c>
      <c r="D123" s="7">
        <f>SUM(D124:D127)</f>
        <v>21</v>
      </c>
      <c r="E123" s="6" t="s">
        <v>12</v>
      </c>
    </row>
    <row r="124" spans="1:5" x14ac:dyDescent="0.25">
      <c r="A124" s="8" t="s">
        <v>175</v>
      </c>
      <c r="B124" s="8" t="s">
        <v>23</v>
      </c>
      <c r="C124" s="8" t="s">
        <v>1</v>
      </c>
      <c r="D124" s="9">
        <v>3</v>
      </c>
      <c r="E124" s="8" t="s">
        <v>4</v>
      </c>
    </row>
    <row r="125" spans="1:5" x14ac:dyDescent="0.25">
      <c r="A125" s="8" t="s">
        <v>176</v>
      </c>
      <c r="B125" s="8" t="s">
        <v>25</v>
      </c>
      <c r="C125" s="8" t="s">
        <v>1</v>
      </c>
      <c r="D125" s="9">
        <v>6</v>
      </c>
      <c r="E125" s="8" t="s">
        <v>4</v>
      </c>
    </row>
    <row r="126" spans="1:5" x14ac:dyDescent="0.25">
      <c r="A126" s="8" t="s">
        <v>177</v>
      </c>
      <c r="B126" s="8" t="s">
        <v>27</v>
      </c>
      <c r="C126" s="8" t="s">
        <v>1</v>
      </c>
      <c r="D126" s="9">
        <v>6</v>
      </c>
      <c r="E126" s="8" t="s">
        <v>509</v>
      </c>
    </row>
    <row r="127" spans="1:5" x14ac:dyDescent="0.25">
      <c r="A127" s="8" t="s">
        <v>178</v>
      </c>
      <c r="B127" s="8" t="s">
        <v>98</v>
      </c>
      <c r="C127" s="8" t="s">
        <v>1</v>
      </c>
      <c r="D127" s="9">
        <v>6</v>
      </c>
      <c r="E127" s="8" t="s">
        <v>7</v>
      </c>
    </row>
    <row r="128" spans="1:5" x14ac:dyDescent="0.25">
      <c r="A128" s="6" t="s">
        <v>179</v>
      </c>
      <c r="B128" s="6" t="s">
        <v>180</v>
      </c>
      <c r="C128" s="6" t="s">
        <v>21</v>
      </c>
      <c r="D128" s="7">
        <f>SUM(D129:D131)</f>
        <v>12</v>
      </c>
      <c r="E128" s="6" t="s">
        <v>12</v>
      </c>
    </row>
    <row r="129" spans="1:5" x14ac:dyDescent="0.25">
      <c r="A129" s="8" t="s">
        <v>181</v>
      </c>
      <c r="B129" s="8" t="s">
        <v>25</v>
      </c>
      <c r="C129" s="8" t="s">
        <v>1</v>
      </c>
      <c r="D129" s="9">
        <v>4</v>
      </c>
      <c r="E129" s="8" t="s">
        <v>5</v>
      </c>
    </row>
    <row r="130" spans="1:5" x14ac:dyDescent="0.25">
      <c r="A130" s="8" t="s">
        <v>182</v>
      </c>
      <c r="B130" s="8" t="s">
        <v>27</v>
      </c>
      <c r="C130" s="8" t="s">
        <v>1</v>
      </c>
      <c r="D130" s="9">
        <v>4</v>
      </c>
      <c r="E130" s="8" t="s">
        <v>6</v>
      </c>
    </row>
    <row r="131" spans="1:5" x14ac:dyDescent="0.25">
      <c r="A131" s="8" t="s">
        <v>183</v>
      </c>
      <c r="B131" s="8" t="s">
        <v>98</v>
      </c>
      <c r="C131" s="8" t="s">
        <v>1</v>
      </c>
      <c r="D131" s="9">
        <v>4</v>
      </c>
      <c r="E131" s="8" t="s">
        <v>7</v>
      </c>
    </row>
    <row r="132" spans="1:5" x14ac:dyDescent="0.25">
      <c r="A132" s="6" t="s">
        <v>184</v>
      </c>
      <c r="B132" s="6" t="s">
        <v>185</v>
      </c>
      <c r="C132" s="6" t="s">
        <v>21</v>
      </c>
      <c r="D132" s="7">
        <f>SUM(D133:D135)</f>
        <v>12</v>
      </c>
      <c r="E132" s="6" t="s">
        <v>12</v>
      </c>
    </row>
    <row r="133" spans="1:5" x14ac:dyDescent="0.25">
      <c r="A133" s="8" t="s">
        <v>186</v>
      </c>
      <c r="B133" s="8" t="s">
        <v>25</v>
      </c>
      <c r="C133" s="8" t="s">
        <v>1</v>
      </c>
      <c r="D133" s="9">
        <v>4</v>
      </c>
      <c r="E133" s="8" t="s">
        <v>4</v>
      </c>
    </row>
    <row r="134" spans="1:5" x14ac:dyDescent="0.25">
      <c r="A134" s="8" t="s">
        <v>187</v>
      </c>
      <c r="B134" s="8" t="s">
        <v>27</v>
      </c>
      <c r="C134" s="8" t="s">
        <v>1</v>
      </c>
      <c r="D134" s="9">
        <v>4</v>
      </c>
      <c r="E134" s="8" t="s">
        <v>6</v>
      </c>
    </row>
    <row r="135" spans="1:5" x14ac:dyDescent="0.25">
      <c r="A135" s="8" t="s">
        <v>188</v>
      </c>
      <c r="B135" s="8" t="s">
        <v>98</v>
      </c>
      <c r="C135" s="8" t="s">
        <v>1</v>
      </c>
      <c r="D135" s="9">
        <v>4</v>
      </c>
      <c r="E135" s="8" t="s">
        <v>7</v>
      </c>
    </row>
    <row r="136" spans="1:5" x14ac:dyDescent="0.25">
      <c r="A136" s="4" t="s">
        <v>189</v>
      </c>
      <c r="B136" s="4" t="s">
        <v>190</v>
      </c>
      <c r="C136" s="4" t="s">
        <v>18</v>
      </c>
      <c r="D136" s="5">
        <f>D137+D142+D147+D152+D157+D162+D167+D172+D177+D182+D187+D192+D197+D201+D206+D210</f>
        <v>262</v>
      </c>
      <c r="E136" s="4"/>
    </row>
    <row r="137" spans="1:5" x14ac:dyDescent="0.25">
      <c r="A137" s="6" t="s">
        <v>191</v>
      </c>
      <c r="B137" s="6" t="s">
        <v>192</v>
      </c>
      <c r="C137" s="6" t="s">
        <v>21</v>
      </c>
      <c r="D137" s="7">
        <f>SUM(D138:D141)</f>
        <v>21</v>
      </c>
      <c r="E137" s="6" t="s">
        <v>12</v>
      </c>
    </row>
    <row r="138" spans="1:5" x14ac:dyDescent="0.25">
      <c r="A138" s="8" t="s">
        <v>193</v>
      </c>
      <c r="B138" s="8" t="s">
        <v>23</v>
      </c>
      <c r="C138" s="8" t="s">
        <v>1</v>
      </c>
      <c r="D138" s="9">
        <v>3</v>
      </c>
      <c r="E138" s="8" t="s">
        <v>4</v>
      </c>
    </row>
    <row r="139" spans="1:5" x14ac:dyDescent="0.25">
      <c r="A139" s="8" t="s">
        <v>194</v>
      </c>
      <c r="B139" s="8" t="s">
        <v>25</v>
      </c>
      <c r="C139" s="8" t="s">
        <v>1</v>
      </c>
      <c r="D139" s="9">
        <v>6</v>
      </c>
      <c r="E139" s="8" t="s">
        <v>4</v>
      </c>
    </row>
    <row r="140" spans="1:5" x14ac:dyDescent="0.25">
      <c r="A140" s="8" t="s">
        <v>195</v>
      </c>
      <c r="B140" s="8" t="s">
        <v>27</v>
      </c>
      <c r="C140" s="8" t="s">
        <v>1</v>
      </c>
      <c r="D140" s="9">
        <v>6</v>
      </c>
      <c r="E140" s="8" t="s">
        <v>6</v>
      </c>
    </row>
    <row r="141" spans="1:5" x14ac:dyDescent="0.25">
      <c r="A141" s="8" t="s">
        <v>196</v>
      </c>
      <c r="B141" s="8" t="s">
        <v>98</v>
      </c>
      <c r="C141" s="8" t="s">
        <v>1</v>
      </c>
      <c r="D141" s="9">
        <v>6</v>
      </c>
      <c r="E141" s="8" t="s">
        <v>7</v>
      </c>
    </row>
    <row r="142" spans="1:5" x14ac:dyDescent="0.25">
      <c r="A142" s="6" t="s">
        <v>197</v>
      </c>
      <c r="B142" s="6" t="s">
        <v>198</v>
      </c>
      <c r="C142" s="6" t="s">
        <v>21</v>
      </c>
      <c r="D142" s="7">
        <f>SUM(D143:D146)</f>
        <v>21</v>
      </c>
      <c r="E142" s="6" t="s">
        <v>12</v>
      </c>
    </row>
    <row r="143" spans="1:5" x14ac:dyDescent="0.25">
      <c r="A143" s="8" t="s">
        <v>199</v>
      </c>
      <c r="B143" s="8" t="s">
        <v>23</v>
      </c>
      <c r="C143" s="8" t="s">
        <v>1</v>
      </c>
      <c r="D143" s="9">
        <v>3</v>
      </c>
      <c r="E143" s="8" t="s">
        <v>4</v>
      </c>
    </row>
    <row r="144" spans="1:5" x14ac:dyDescent="0.25">
      <c r="A144" s="8" t="s">
        <v>200</v>
      </c>
      <c r="B144" s="8" t="s">
        <v>25</v>
      </c>
      <c r="C144" s="8" t="s">
        <v>1</v>
      </c>
      <c r="D144" s="9">
        <v>6</v>
      </c>
      <c r="E144" s="8" t="s">
        <v>4</v>
      </c>
    </row>
    <row r="145" spans="1:5" x14ac:dyDescent="0.25">
      <c r="A145" s="8" t="s">
        <v>201</v>
      </c>
      <c r="B145" s="8" t="s">
        <v>27</v>
      </c>
      <c r="C145" s="8" t="s">
        <v>1</v>
      </c>
      <c r="D145" s="9">
        <v>6</v>
      </c>
      <c r="E145" s="8" t="s">
        <v>509</v>
      </c>
    </row>
    <row r="146" spans="1:5" x14ac:dyDescent="0.25">
      <c r="A146" s="8" t="s">
        <v>202</v>
      </c>
      <c r="B146" s="8" t="s">
        <v>98</v>
      </c>
      <c r="C146" s="8" t="s">
        <v>1</v>
      </c>
      <c r="D146" s="9">
        <v>6</v>
      </c>
      <c r="E146" s="8" t="s">
        <v>7</v>
      </c>
    </row>
    <row r="147" spans="1:5" x14ac:dyDescent="0.25">
      <c r="A147" s="6" t="s">
        <v>203</v>
      </c>
      <c r="B147" s="6" t="s">
        <v>204</v>
      </c>
      <c r="C147" s="6" t="s">
        <v>21</v>
      </c>
      <c r="D147" s="7">
        <f>SUM(D148:D151)</f>
        <v>14</v>
      </c>
      <c r="E147" s="6" t="s">
        <v>12</v>
      </c>
    </row>
    <row r="148" spans="1:5" x14ac:dyDescent="0.25">
      <c r="A148" s="8" t="s">
        <v>205</v>
      </c>
      <c r="B148" s="8" t="s">
        <v>23</v>
      </c>
      <c r="C148" s="8" t="s">
        <v>1</v>
      </c>
      <c r="D148" s="9">
        <v>2</v>
      </c>
      <c r="E148" s="8" t="s">
        <v>4</v>
      </c>
    </row>
    <row r="149" spans="1:5" x14ac:dyDescent="0.25">
      <c r="A149" s="8" t="s">
        <v>206</v>
      </c>
      <c r="B149" s="8" t="s">
        <v>25</v>
      </c>
      <c r="C149" s="8" t="s">
        <v>1</v>
      </c>
      <c r="D149" s="9">
        <v>4</v>
      </c>
      <c r="E149" s="8" t="s">
        <v>5</v>
      </c>
    </row>
    <row r="150" spans="1:5" x14ac:dyDescent="0.25">
      <c r="A150" s="8" t="s">
        <v>207</v>
      </c>
      <c r="B150" s="8" t="s">
        <v>27</v>
      </c>
      <c r="C150" s="8" t="s">
        <v>1</v>
      </c>
      <c r="D150" s="9">
        <v>4</v>
      </c>
      <c r="E150" s="8" t="s">
        <v>6</v>
      </c>
    </row>
    <row r="151" spans="1:5" x14ac:dyDescent="0.25">
      <c r="A151" s="8" t="s">
        <v>208</v>
      </c>
      <c r="B151" s="8" t="s">
        <v>98</v>
      </c>
      <c r="C151" s="8" t="s">
        <v>1</v>
      </c>
      <c r="D151" s="9">
        <v>4</v>
      </c>
      <c r="E151" s="8" t="s">
        <v>7</v>
      </c>
    </row>
    <row r="152" spans="1:5" x14ac:dyDescent="0.25">
      <c r="A152" s="6" t="s">
        <v>209</v>
      </c>
      <c r="B152" s="6" t="s">
        <v>210</v>
      </c>
      <c r="C152" s="6" t="s">
        <v>21</v>
      </c>
      <c r="D152" s="7">
        <f>SUM(D153:D156)</f>
        <v>21</v>
      </c>
      <c r="E152" s="6" t="s">
        <v>12</v>
      </c>
    </row>
    <row r="153" spans="1:5" x14ac:dyDescent="0.25">
      <c r="A153" s="8" t="s">
        <v>211</v>
      </c>
      <c r="B153" s="8" t="s">
        <v>23</v>
      </c>
      <c r="C153" s="8" t="s">
        <v>1</v>
      </c>
      <c r="D153" s="9">
        <v>3</v>
      </c>
      <c r="E153" s="8" t="s">
        <v>4</v>
      </c>
    </row>
    <row r="154" spans="1:5" x14ac:dyDescent="0.25">
      <c r="A154" s="8" t="s">
        <v>212</v>
      </c>
      <c r="B154" s="8" t="s">
        <v>25</v>
      </c>
      <c r="C154" s="8" t="s">
        <v>1</v>
      </c>
      <c r="D154" s="9">
        <v>6</v>
      </c>
      <c r="E154" s="8" t="s">
        <v>5</v>
      </c>
    </row>
    <row r="155" spans="1:5" x14ac:dyDescent="0.25">
      <c r="A155" s="8" t="s">
        <v>213</v>
      </c>
      <c r="B155" s="8" t="s">
        <v>27</v>
      </c>
      <c r="C155" s="8" t="s">
        <v>1</v>
      </c>
      <c r="D155" s="9">
        <v>6</v>
      </c>
      <c r="E155" s="8" t="s">
        <v>6</v>
      </c>
    </row>
    <row r="156" spans="1:5" x14ac:dyDescent="0.25">
      <c r="A156" s="8" t="s">
        <v>214</v>
      </c>
      <c r="B156" s="8" t="s">
        <v>98</v>
      </c>
      <c r="C156" s="8" t="s">
        <v>1</v>
      </c>
      <c r="D156" s="9">
        <v>6</v>
      </c>
      <c r="E156" s="8" t="s">
        <v>7</v>
      </c>
    </row>
    <row r="157" spans="1:5" x14ac:dyDescent="0.25">
      <c r="A157" s="6" t="s">
        <v>215</v>
      </c>
      <c r="B157" s="6" t="s">
        <v>216</v>
      </c>
      <c r="C157" s="6" t="s">
        <v>21</v>
      </c>
      <c r="D157" s="7">
        <f>SUM(D158:D161)</f>
        <v>14</v>
      </c>
      <c r="E157" s="6" t="s">
        <v>12</v>
      </c>
    </row>
    <row r="158" spans="1:5" x14ac:dyDescent="0.25">
      <c r="A158" s="8" t="s">
        <v>217</v>
      </c>
      <c r="B158" s="8" t="s">
        <v>23</v>
      </c>
      <c r="C158" s="8" t="s">
        <v>1</v>
      </c>
      <c r="D158" s="9">
        <v>2</v>
      </c>
      <c r="E158" s="8" t="s">
        <v>4</v>
      </c>
    </row>
    <row r="159" spans="1:5" x14ac:dyDescent="0.25">
      <c r="A159" s="8" t="s">
        <v>218</v>
      </c>
      <c r="B159" s="8" t="s">
        <v>25</v>
      </c>
      <c r="C159" s="8" t="s">
        <v>1</v>
      </c>
      <c r="D159" s="9">
        <v>4</v>
      </c>
      <c r="E159" s="8" t="s">
        <v>5</v>
      </c>
    </row>
    <row r="160" spans="1:5" x14ac:dyDescent="0.25">
      <c r="A160" s="8" t="s">
        <v>219</v>
      </c>
      <c r="B160" s="8" t="s">
        <v>27</v>
      </c>
      <c r="C160" s="8" t="s">
        <v>1</v>
      </c>
      <c r="D160" s="9">
        <v>4</v>
      </c>
      <c r="E160" s="8" t="s">
        <v>509</v>
      </c>
    </row>
    <row r="161" spans="1:5" x14ac:dyDescent="0.25">
      <c r="A161" s="8" t="s">
        <v>220</v>
      </c>
      <c r="B161" s="8" t="s">
        <v>98</v>
      </c>
      <c r="C161" s="8" t="s">
        <v>1</v>
      </c>
      <c r="D161" s="9">
        <v>4</v>
      </c>
      <c r="E161" s="8" t="s">
        <v>7</v>
      </c>
    </row>
    <row r="162" spans="1:5" x14ac:dyDescent="0.25">
      <c r="A162" s="6" t="s">
        <v>221</v>
      </c>
      <c r="B162" s="6" t="s">
        <v>222</v>
      </c>
      <c r="C162" s="6" t="s">
        <v>21</v>
      </c>
      <c r="D162" s="7">
        <f>SUM(D163:D166)</f>
        <v>21</v>
      </c>
      <c r="E162" s="6" t="s">
        <v>12</v>
      </c>
    </row>
    <row r="163" spans="1:5" x14ac:dyDescent="0.25">
      <c r="A163" s="8" t="s">
        <v>223</v>
      </c>
      <c r="B163" s="8" t="s">
        <v>23</v>
      </c>
      <c r="C163" s="8" t="s">
        <v>1</v>
      </c>
      <c r="D163" s="9">
        <v>3</v>
      </c>
      <c r="E163" s="8" t="s">
        <v>4</v>
      </c>
    </row>
    <row r="164" spans="1:5" x14ac:dyDescent="0.25">
      <c r="A164" s="8" t="s">
        <v>224</v>
      </c>
      <c r="B164" s="8" t="s">
        <v>25</v>
      </c>
      <c r="C164" s="8" t="s">
        <v>1</v>
      </c>
      <c r="D164" s="9">
        <v>6</v>
      </c>
      <c r="E164" s="8" t="s">
        <v>5</v>
      </c>
    </row>
    <row r="165" spans="1:5" x14ac:dyDescent="0.25">
      <c r="A165" s="8" t="s">
        <v>225</v>
      </c>
      <c r="B165" s="8" t="s">
        <v>27</v>
      </c>
      <c r="C165" s="8" t="s">
        <v>1</v>
      </c>
      <c r="D165" s="9">
        <v>6</v>
      </c>
      <c r="E165" s="8" t="s">
        <v>509</v>
      </c>
    </row>
    <row r="166" spans="1:5" x14ac:dyDescent="0.25">
      <c r="A166" s="8" t="s">
        <v>226</v>
      </c>
      <c r="B166" s="8" t="s">
        <v>98</v>
      </c>
      <c r="C166" s="8" t="s">
        <v>1</v>
      </c>
      <c r="D166" s="9">
        <v>6</v>
      </c>
      <c r="E166" s="8" t="s">
        <v>7</v>
      </c>
    </row>
    <row r="167" spans="1:5" x14ac:dyDescent="0.25">
      <c r="A167" s="6" t="s">
        <v>227</v>
      </c>
      <c r="B167" s="6" t="s">
        <v>228</v>
      </c>
      <c r="C167" s="6" t="s">
        <v>21</v>
      </c>
      <c r="D167" s="7">
        <f>SUM(D168:D171)</f>
        <v>14</v>
      </c>
      <c r="E167" s="6" t="s">
        <v>12</v>
      </c>
    </row>
    <row r="168" spans="1:5" x14ac:dyDescent="0.25">
      <c r="A168" s="8" t="s">
        <v>229</v>
      </c>
      <c r="B168" s="8" t="s">
        <v>23</v>
      </c>
      <c r="C168" s="8" t="s">
        <v>1</v>
      </c>
      <c r="D168" s="9">
        <v>2</v>
      </c>
      <c r="E168" s="8" t="s">
        <v>4</v>
      </c>
    </row>
    <row r="169" spans="1:5" x14ac:dyDescent="0.25">
      <c r="A169" s="8" t="s">
        <v>230</v>
      </c>
      <c r="B169" s="8" t="s">
        <v>25</v>
      </c>
      <c r="C169" s="8" t="s">
        <v>1</v>
      </c>
      <c r="D169" s="9">
        <v>4</v>
      </c>
      <c r="E169" s="8" t="s">
        <v>5</v>
      </c>
    </row>
    <row r="170" spans="1:5" x14ac:dyDescent="0.25">
      <c r="A170" s="8" t="s">
        <v>231</v>
      </c>
      <c r="B170" s="8" t="s">
        <v>27</v>
      </c>
      <c r="C170" s="8" t="s">
        <v>1</v>
      </c>
      <c r="D170" s="9">
        <v>4</v>
      </c>
      <c r="E170" s="8" t="s">
        <v>6</v>
      </c>
    </row>
    <row r="171" spans="1:5" x14ac:dyDescent="0.25">
      <c r="A171" s="8" t="s">
        <v>232</v>
      </c>
      <c r="B171" s="8" t="s">
        <v>98</v>
      </c>
      <c r="C171" s="8" t="s">
        <v>1</v>
      </c>
      <c r="D171" s="9">
        <v>4</v>
      </c>
      <c r="E171" s="8" t="s">
        <v>7</v>
      </c>
    </row>
    <row r="172" spans="1:5" x14ac:dyDescent="0.25">
      <c r="A172" s="6" t="s">
        <v>233</v>
      </c>
      <c r="B172" s="6" t="s">
        <v>234</v>
      </c>
      <c r="C172" s="6" t="s">
        <v>21</v>
      </c>
      <c r="D172" s="7">
        <f>SUM(D173:D176)</f>
        <v>14</v>
      </c>
      <c r="E172" s="6" t="s">
        <v>12</v>
      </c>
    </row>
    <row r="173" spans="1:5" x14ac:dyDescent="0.25">
      <c r="A173" s="8" t="s">
        <v>235</v>
      </c>
      <c r="B173" s="8" t="s">
        <v>23</v>
      </c>
      <c r="C173" s="8" t="s">
        <v>1</v>
      </c>
      <c r="D173" s="9">
        <v>2</v>
      </c>
      <c r="E173" s="8" t="s">
        <v>4</v>
      </c>
    </row>
    <row r="174" spans="1:5" x14ac:dyDescent="0.25">
      <c r="A174" s="8" t="s">
        <v>236</v>
      </c>
      <c r="B174" s="8" t="s">
        <v>25</v>
      </c>
      <c r="C174" s="8" t="s">
        <v>1</v>
      </c>
      <c r="D174" s="9">
        <v>4</v>
      </c>
      <c r="E174" s="8" t="s">
        <v>5</v>
      </c>
    </row>
    <row r="175" spans="1:5" x14ac:dyDescent="0.25">
      <c r="A175" s="8" t="s">
        <v>237</v>
      </c>
      <c r="B175" s="8" t="s">
        <v>27</v>
      </c>
      <c r="C175" s="8" t="s">
        <v>1</v>
      </c>
      <c r="D175" s="9">
        <v>4</v>
      </c>
      <c r="E175" s="8" t="s">
        <v>6</v>
      </c>
    </row>
    <row r="176" spans="1:5" x14ac:dyDescent="0.25">
      <c r="A176" s="8" t="s">
        <v>238</v>
      </c>
      <c r="B176" s="8" t="s">
        <v>98</v>
      </c>
      <c r="C176" s="8" t="s">
        <v>1</v>
      </c>
      <c r="D176" s="9">
        <v>4</v>
      </c>
      <c r="E176" s="8" t="s">
        <v>7</v>
      </c>
    </row>
    <row r="177" spans="1:5" x14ac:dyDescent="0.25">
      <c r="A177" s="6" t="s">
        <v>239</v>
      </c>
      <c r="B177" s="6" t="s">
        <v>240</v>
      </c>
      <c r="C177" s="6" t="s">
        <v>21</v>
      </c>
      <c r="D177" s="7">
        <f>SUM(D178:D181)</f>
        <v>21</v>
      </c>
      <c r="E177" s="6" t="s">
        <v>12</v>
      </c>
    </row>
    <row r="178" spans="1:5" x14ac:dyDescent="0.25">
      <c r="A178" s="8" t="s">
        <v>241</v>
      </c>
      <c r="B178" s="8" t="s">
        <v>23</v>
      </c>
      <c r="C178" s="8" t="s">
        <v>1</v>
      </c>
      <c r="D178" s="9">
        <v>3</v>
      </c>
      <c r="E178" s="8" t="s">
        <v>4</v>
      </c>
    </row>
    <row r="179" spans="1:5" x14ac:dyDescent="0.25">
      <c r="A179" s="8" t="s">
        <v>242</v>
      </c>
      <c r="B179" s="8" t="s">
        <v>25</v>
      </c>
      <c r="C179" s="8" t="s">
        <v>1</v>
      </c>
      <c r="D179" s="9">
        <v>6</v>
      </c>
      <c r="E179" s="8" t="s">
        <v>5</v>
      </c>
    </row>
    <row r="180" spans="1:5" x14ac:dyDescent="0.25">
      <c r="A180" s="8" t="s">
        <v>243</v>
      </c>
      <c r="B180" s="8" t="s">
        <v>27</v>
      </c>
      <c r="C180" s="8" t="s">
        <v>1</v>
      </c>
      <c r="D180" s="9">
        <v>6</v>
      </c>
      <c r="E180" s="8" t="s">
        <v>6</v>
      </c>
    </row>
    <row r="181" spans="1:5" x14ac:dyDescent="0.25">
      <c r="A181" s="8" t="s">
        <v>244</v>
      </c>
      <c r="B181" s="8" t="s">
        <v>98</v>
      </c>
      <c r="C181" s="8" t="s">
        <v>1</v>
      </c>
      <c r="D181" s="9">
        <v>6</v>
      </c>
      <c r="E181" s="8" t="s">
        <v>7</v>
      </c>
    </row>
    <row r="182" spans="1:5" x14ac:dyDescent="0.25">
      <c r="A182" s="6" t="s">
        <v>245</v>
      </c>
      <c r="B182" s="6" t="s">
        <v>246</v>
      </c>
      <c r="C182" s="6" t="s">
        <v>21</v>
      </c>
      <c r="D182" s="7">
        <f>SUM(D183:D186)</f>
        <v>21</v>
      </c>
      <c r="E182" s="6" t="s">
        <v>12</v>
      </c>
    </row>
    <row r="183" spans="1:5" x14ac:dyDescent="0.25">
      <c r="A183" s="8" t="s">
        <v>247</v>
      </c>
      <c r="B183" s="8" t="s">
        <v>23</v>
      </c>
      <c r="C183" s="8" t="s">
        <v>1</v>
      </c>
      <c r="D183" s="9">
        <v>3</v>
      </c>
      <c r="E183" s="8" t="s">
        <v>4</v>
      </c>
    </row>
    <row r="184" spans="1:5" x14ac:dyDescent="0.25">
      <c r="A184" s="8" t="s">
        <v>248</v>
      </c>
      <c r="B184" s="8" t="s">
        <v>25</v>
      </c>
      <c r="C184" s="8" t="s">
        <v>1</v>
      </c>
      <c r="D184" s="9">
        <v>6</v>
      </c>
      <c r="E184" s="8" t="s">
        <v>5</v>
      </c>
    </row>
    <row r="185" spans="1:5" x14ac:dyDescent="0.25">
      <c r="A185" s="8" t="s">
        <v>249</v>
      </c>
      <c r="B185" s="8" t="s">
        <v>27</v>
      </c>
      <c r="C185" s="8" t="s">
        <v>1</v>
      </c>
      <c r="D185" s="9">
        <v>6</v>
      </c>
      <c r="E185" s="8" t="s">
        <v>509</v>
      </c>
    </row>
    <row r="186" spans="1:5" x14ac:dyDescent="0.25">
      <c r="A186" s="8" t="s">
        <v>250</v>
      </c>
      <c r="B186" s="8" t="s">
        <v>98</v>
      </c>
      <c r="C186" s="8" t="s">
        <v>1</v>
      </c>
      <c r="D186" s="9">
        <v>6</v>
      </c>
      <c r="E186" s="8" t="s">
        <v>7</v>
      </c>
    </row>
    <row r="187" spans="1:5" x14ac:dyDescent="0.25">
      <c r="A187" s="6" t="s">
        <v>251</v>
      </c>
      <c r="B187" s="6" t="s">
        <v>252</v>
      </c>
      <c r="C187" s="6" t="s">
        <v>21</v>
      </c>
      <c r="D187" s="7">
        <f>SUM(D188:D191)</f>
        <v>14</v>
      </c>
      <c r="E187" s="6" t="s">
        <v>12</v>
      </c>
    </row>
    <row r="188" spans="1:5" x14ac:dyDescent="0.25">
      <c r="A188" s="8" t="s">
        <v>253</v>
      </c>
      <c r="B188" s="8" t="s">
        <v>23</v>
      </c>
      <c r="C188" s="8" t="s">
        <v>1</v>
      </c>
      <c r="D188" s="9">
        <v>2</v>
      </c>
      <c r="E188" s="8" t="s">
        <v>4</v>
      </c>
    </row>
    <row r="189" spans="1:5" x14ac:dyDescent="0.25">
      <c r="A189" s="8" t="s">
        <v>254</v>
      </c>
      <c r="B189" s="8" t="s">
        <v>25</v>
      </c>
      <c r="C189" s="8" t="s">
        <v>1</v>
      </c>
      <c r="D189" s="9">
        <v>4</v>
      </c>
      <c r="E189" s="8" t="s">
        <v>5</v>
      </c>
    </row>
    <row r="190" spans="1:5" x14ac:dyDescent="0.25">
      <c r="A190" s="8" t="s">
        <v>255</v>
      </c>
      <c r="B190" s="8" t="s">
        <v>27</v>
      </c>
      <c r="C190" s="8" t="s">
        <v>1</v>
      </c>
      <c r="D190" s="9">
        <v>4</v>
      </c>
      <c r="E190" s="8" t="s">
        <v>6</v>
      </c>
    </row>
    <row r="191" spans="1:5" x14ac:dyDescent="0.25">
      <c r="A191" s="8" t="s">
        <v>256</v>
      </c>
      <c r="B191" s="8" t="s">
        <v>98</v>
      </c>
      <c r="C191" s="8" t="s">
        <v>1</v>
      </c>
      <c r="D191" s="9">
        <v>4</v>
      </c>
      <c r="E191" s="8" t="s">
        <v>7</v>
      </c>
    </row>
    <row r="192" spans="1:5" x14ac:dyDescent="0.25">
      <c r="A192" s="6" t="s">
        <v>257</v>
      </c>
      <c r="B192" s="6" t="s">
        <v>258</v>
      </c>
      <c r="C192" s="6" t="s">
        <v>21</v>
      </c>
      <c r="D192" s="7">
        <f>SUM(D193:D196)</f>
        <v>14</v>
      </c>
      <c r="E192" s="6" t="s">
        <v>12</v>
      </c>
    </row>
    <row r="193" spans="1:5" x14ac:dyDescent="0.25">
      <c r="A193" s="8" t="s">
        <v>259</v>
      </c>
      <c r="B193" s="8" t="s">
        <v>23</v>
      </c>
      <c r="C193" s="8" t="s">
        <v>1</v>
      </c>
      <c r="D193" s="9">
        <v>2</v>
      </c>
      <c r="E193" s="8" t="s">
        <v>4</v>
      </c>
    </row>
    <row r="194" spans="1:5" x14ac:dyDescent="0.25">
      <c r="A194" s="8" t="s">
        <v>260</v>
      </c>
      <c r="B194" s="8" t="s">
        <v>25</v>
      </c>
      <c r="C194" s="8" t="s">
        <v>1</v>
      </c>
      <c r="D194" s="9">
        <v>4</v>
      </c>
      <c r="E194" s="8" t="s">
        <v>5</v>
      </c>
    </row>
    <row r="195" spans="1:5" x14ac:dyDescent="0.25">
      <c r="A195" s="8" t="s">
        <v>261</v>
      </c>
      <c r="B195" s="8" t="s">
        <v>27</v>
      </c>
      <c r="C195" s="8" t="s">
        <v>1</v>
      </c>
      <c r="D195" s="9">
        <v>4</v>
      </c>
      <c r="E195" s="8" t="s">
        <v>6</v>
      </c>
    </row>
    <row r="196" spans="1:5" x14ac:dyDescent="0.25">
      <c r="A196" s="8" t="s">
        <v>262</v>
      </c>
      <c r="B196" s="8" t="s">
        <v>98</v>
      </c>
      <c r="C196" s="8" t="s">
        <v>1</v>
      </c>
      <c r="D196" s="9">
        <v>4</v>
      </c>
      <c r="E196" s="8" t="s">
        <v>7</v>
      </c>
    </row>
    <row r="197" spans="1:5" x14ac:dyDescent="0.25">
      <c r="A197" s="6" t="s">
        <v>263</v>
      </c>
      <c r="B197" s="6" t="s">
        <v>264</v>
      </c>
      <c r="C197" s="6" t="s">
        <v>21</v>
      </c>
      <c r="D197" s="7">
        <f>SUM(D198:D200)</f>
        <v>12</v>
      </c>
      <c r="E197" s="6" t="s">
        <v>12</v>
      </c>
    </row>
    <row r="198" spans="1:5" x14ac:dyDescent="0.25">
      <c r="A198" s="8" t="s">
        <v>265</v>
      </c>
      <c r="B198" s="8" t="s">
        <v>25</v>
      </c>
      <c r="C198" s="8" t="s">
        <v>1</v>
      </c>
      <c r="D198" s="9">
        <v>4</v>
      </c>
      <c r="E198" s="8" t="s">
        <v>5</v>
      </c>
    </row>
    <row r="199" spans="1:5" x14ac:dyDescent="0.25">
      <c r="A199" s="8" t="s">
        <v>266</v>
      </c>
      <c r="B199" s="8" t="s">
        <v>27</v>
      </c>
      <c r="C199" s="8" t="s">
        <v>1</v>
      </c>
      <c r="D199" s="9">
        <v>4</v>
      </c>
      <c r="E199" s="8" t="s">
        <v>6</v>
      </c>
    </row>
    <row r="200" spans="1:5" x14ac:dyDescent="0.25">
      <c r="A200" s="8" t="s">
        <v>267</v>
      </c>
      <c r="B200" s="8" t="s">
        <v>98</v>
      </c>
      <c r="C200" s="8" t="s">
        <v>1</v>
      </c>
      <c r="D200" s="9">
        <v>4</v>
      </c>
      <c r="E200" s="8" t="s">
        <v>7</v>
      </c>
    </row>
    <row r="201" spans="1:5" x14ac:dyDescent="0.25">
      <c r="A201" s="6" t="s">
        <v>268</v>
      </c>
      <c r="B201" s="6" t="s">
        <v>269</v>
      </c>
      <c r="C201" s="6" t="s">
        <v>21</v>
      </c>
      <c r="D201" s="7">
        <f>SUM(D202:D205)</f>
        <v>14</v>
      </c>
      <c r="E201" s="6" t="s">
        <v>12</v>
      </c>
    </row>
    <row r="202" spans="1:5" x14ac:dyDescent="0.25">
      <c r="A202" s="8" t="s">
        <v>270</v>
      </c>
      <c r="B202" s="8" t="s">
        <v>23</v>
      </c>
      <c r="C202" s="8" t="s">
        <v>1</v>
      </c>
      <c r="D202" s="9">
        <v>2</v>
      </c>
      <c r="E202" s="8" t="s">
        <v>4</v>
      </c>
    </row>
    <row r="203" spans="1:5" x14ac:dyDescent="0.25">
      <c r="A203" s="8" t="s">
        <v>271</v>
      </c>
      <c r="B203" s="8" t="s">
        <v>25</v>
      </c>
      <c r="C203" s="8" t="s">
        <v>1</v>
      </c>
      <c r="D203" s="9">
        <v>4</v>
      </c>
      <c r="E203" s="8" t="s">
        <v>5</v>
      </c>
    </row>
    <row r="204" spans="1:5" x14ac:dyDescent="0.25">
      <c r="A204" s="8" t="s">
        <v>272</v>
      </c>
      <c r="B204" s="8" t="s">
        <v>27</v>
      </c>
      <c r="C204" s="8" t="s">
        <v>1</v>
      </c>
      <c r="D204" s="9">
        <v>4</v>
      </c>
      <c r="E204" s="8" t="s">
        <v>6</v>
      </c>
    </row>
    <row r="205" spans="1:5" x14ac:dyDescent="0.25">
      <c r="A205" s="8" t="s">
        <v>273</v>
      </c>
      <c r="B205" s="8" t="s">
        <v>98</v>
      </c>
      <c r="C205" s="8" t="s">
        <v>1</v>
      </c>
      <c r="D205" s="9">
        <v>4</v>
      </c>
      <c r="E205" s="8" t="s">
        <v>7</v>
      </c>
    </row>
    <row r="206" spans="1:5" x14ac:dyDescent="0.25">
      <c r="A206" s="6" t="s">
        <v>274</v>
      </c>
      <c r="B206" s="6" t="s">
        <v>275</v>
      </c>
      <c r="C206" s="6" t="s">
        <v>21</v>
      </c>
      <c r="D206" s="7">
        <f>SUM(D207:D209)</f>
        <v>12</v>
      </c>
      <c r="E206" s="6" t="s">
        <v>12</v>
      </c>
    </row>
    <row r="207" spans="1:5" x14ac:dyDescent="0.25">
      <c r="A207" s="8" t="s">
        <v>276</v>
      </c>
      <c r="B207" s="8" t="s">
        <v>25</v>
      </c>
      <c r="C207" s="8" t="s">
        <v>1</v>
      </c>
      <c r="D207" s="9">
        <v>4</v>
      </c>
      <c r="E207" s="8" t="s">
        <v>5</v>
      </c>
    </row>
    <row r="208" spans="1:5" x14ac:dyDescent="0.25">
      <c r="A208" s="8" t="s">
        <v>277</v>
      </c>
      <c r="B208" s="8" t="s">
        <v>27</v>
      </c>
      <c r="C208" s="8" t="s">
        <v>1</v>
      </c>
      <c r="D208" s="9">
        <v>4</v>
      </c>
      <c r="E208" s="8" t="s">
        <v>6</v>
      </c>
    </row>
    <row r="209" spans="1:5" x14ac:dyDescent="0.25">
      <c r="A209" s="8" t="s">
        <v>278</v>
      </c>
      <c r="B209" s="8" t="s">
        <v>98</v>
      </c>
      <c r="C209" s="8" t="s">
        <v>1</v>
      </c>
      <c r="D209" s="9">
        <v>4</v>
      </c>
      <c r="E209" s="8" t="s">
        <v>7</v>
      </c>
    </row>
    <row r="210" spans="1:5" x14ac:dyDescent="0.25">
      <c r="A210" s="6" t="s">
        <v>279</v>
      </c>
      <c r="B210" s="6" t="s">
        <v>280</v>
      </c>
      <c r="C210" s="6" t="s">
        <v>21</v>
      </c>
      <c r="D210" s="7">
        <f>SUM(D211:D214)</f>
        <v>14</v>
      </c>
      <c r="E210" s="6" t="s">
        <v>12</v>
      </c>
    </row>
    <row r="211" spans="1:5" x14ac:dyDescent="0.25">
      <c r="A211" s="8" t="s">
        <v>281</v>
      </c>
      <c r="B211" s="8" t="s">
        <v>23</v>
      </c>
      <c r="C211" s="8" t="s">
        <v>1</v>
      </c>
      <c r="D211" s="9">
        <v>2</v>
      </c>
      <c r="E211" s="8" t="s">
        <v>4</v>
      </c>
    </row>
    <row r="212" spans="1:5" x14ac:dyDescent="0.25">
      <c r="A212" s="8" t="s">
        <v>282</v>
      </c>
      <c r="B212" s="8" t="s">
        <v>25</v>
      </c>
      <c r="C212" s="8" t="s">
        <v>1</v>
      </c>
      <c r="D212" s="9">
        <v>4</v>
      </c>
      <c r="E212" s="8" t="s">
        <v>5</v>
      </c>
    </row>
    <row r="213" spans="1:5" x14ac:dyDescent="0.25">
      <c r="A213" s="8" t="s">
        <v>283</v>
      </c>
      <c r="B213" s="8" t="s">
        <v>27</v>
      </c>
      <c r="C213" s="8" t="s">
        <v>1</v>
      </c>
      <c r="D213" s="9">
        <v>4</v>
      </c>
      <c r="E213" s="8" t="s">
        <v>6</v>
      </c>
    </row>
    <row r="214" spans="1:5" x14ac:dyDescent="0.25">
      <c r="A214" s="8" t="s">
        <v>284</v>
      </c>
      <c r="B214" s="8" t="s">
        <v>98</v>
      </c>
      <c r="C214" s="8" t="s">
        <v>1</v>
      </c>
      <c r="D214" s="9">
        <v>4</v>
      </c>
      <c r="E214" s="8" t="s">
        <v>7</v>
      </c>
    </row>
    <row r="215" spans="1:5" x14ac:dyDescent="0.25">
      <c r="A215" s="4" t="s">
        <v>285</v>
      </c>
      <c r="B215" s="4" t="s">
        <v>286</v>
      </c>
      <c r="C215" s="4" t="s">
        <v>18</v>
      </c>
      <c r="D215" s="5">
        <f>D216+D221+D226+D231+D236+D241+D246+D250</f>
        <v>122</v>
      </c>
      <c r="E215" s="4"/>
    </row>
    <row r="216" spans="1:5" x14ac:dyDescent="0.25">
      <c r="A216" s="6" t="s">
        <v>287</v>
      </c>
      <c r="B216" s="6" t="s">
        <v>288</v>
      </c>
      <c r="C216" s="6" t="s">
        <v>21</v>
      </c>
      <c r="D216" s="7">
        <f>SUM(D217:D220)</f>
        <v>14</v>
      </c>
      <c r="E216" s="6" t="s">
        <v>12</v>
      </c>
    </row>
    <row r="217" spans="1:5" x14ac:dyDescent="0.25">
      <c r="A217" s="8" t="s">
        <v>289</v>
      </c>
      <c r="B217" s="8" t="s">
        <v>23</v>
      </c>
      <c r="C217" s="8" t="s">
        <v>1</v>
      </c>
      <c r="D217" s="9">
        <v>2</v>
      </c>
      <c r="E217" s="8" t="s">
        <v>4</v>
      </c>
    </row>
    <row r="218" spans="1:5" x14ac:dyDescent="0.25">
      <c r="A218" s="8" t="s">
        <v>290</v>
      </c>
      <c r="B218" s="8" t="s">
        <v>25</v>
      </c>
      <c r="C218" s="8" t="s">
        <v>1</v>
      </c>
      <c r="D218" s="9">
        <v>4</v>
      </c>
      <c r="E218" s="8" t="s">
        <v>5</v>
      </c>
    </row>
    <row r="219" spans="1:5" x14ac:dyDescent="0.25">
      <c r="A219" s="8" t="s">
        <v>291</v>
      </c>
      <c r="B219" s="8" t="s">
        <v>27</v>
      </c>
      <c r="C219" s="8" t="s">
        <v>1</v>
      </c>
      <c r="D219" s="9">
        <v>4</v>
      </c>
      <c r="E219" s="8" t="s">
        <v>6</v>
      </c>
    </row>
    <row r="220" spans="1:5" x14ac:dyDescent="0.25">
      <c r="A220" s="8" t="s">
        <v>292</v>
      </c>
      <c r="B220" s="8" t="s">
        <v>98</v>
      </c>
      <c r="C220" s="8" t="s">
        <v>1</v>
      </c>
      <c r="D220" s="9">
        <v>4</v>
      </c>
      <c r="E220" s="8" t="s">
        <v>7</v>
      </c>
    </row>
    <row r="221" spans="1:5" x14ac:dyDescent="0.25">
      <c r="A221" s="6" t="s">
        <v>293</v>
      </c>
      <c r="B221" s="6" t="s">
        <v>294</v>
      </c>
      <c r="C221" s="6" t="s">
        <v>21</v>
      </c>
      <c r="D221" s="7">
        <f>SUM(D222:D225)</f>
        <v>14</v>
      </c>
      <c r="E221" s="6" t="s">
        <v>12</v>
      </c>
    </row>
    <row r="222" spans="1:5" x14ac:dyDescent="0.25">
      <c r="A222" s="8" t="s">
        <v>295</v>
      </c>
      <c r="B222" s="8" t="s">
        <v>23</v>
      </c>
      <c r="C222" s="8" t="s">
        <v>1</v>
      </c>
      <c r="D222" s="9">
        <v>2</v>
      </c>
      <c r="E222" s="8" t="s">
        <v>4</v>
      </c>
    </row>
    <row r="223" spans="1:5" x14ac:dyDescent="0.25">
      <c r="A223" s="8" t="s">
        <v>296</v>
      </c>
      <c r="B223" s="8" t="s">
        <v>25</v>
      </c>
      <c r="C223" s="8" t="s">
        <v>1</v>
      </c>
      <c r="D223" s="9">
        <v>4</v>
      </c>
      <c r="E223" s="8" t="s">
        <v>5</v>
      </c>
    </row>
    <row r="224" spans="1:5" x14ac:dyDescent="0.25">
      <c r="A224" s="8" t="s">
        <v>297</v>
      </c>
      <c r="B224" s="8" t="s">
        <v>27</v>
      </c>
      <c r="C224" s="8" t="s">
        <v>1</v>
      </c>
      <c r="D224" s="9">
        <v>4</v>
      </c>
      <c r="E224" s="8" t="s">
        <v>6</v>
      </c>
    </row>
    <row r="225" spans="1:5" x14ac:dyDescent="0.25">
      <c r="A225" s="8" t="s">
        <v>298</v>
      </c>
      <c r="B225" s="8" t="s">
        <v>98</v>
      </c>
      <c r="C225" s="8" t="s">
        <v>1</v>
      </c>
      <c r="D225" s="9">
        <v>4</v>
      </c>
      <c r="E225" s="8" t="s">
        <v>7</v>
      </c>
    </row>
    <row r="226" spans="1:5" x14ac:dyDescent="0.25">
      <c r="A226" s="6" t="s">
        <v>299</v>
      </c>
      <c r="B226" s="6" t="s">
        <v>300</v>
      </c>
      <c r="C226" s="6" t="s">
        <v>21</v>
      </c>
      <c r="D226" s="7">
        <f>SUM(D227:D230)</f>
        <v>14</v>
      </c>
      <c r="E226" s="6" t="s">
        <v>12</v>
      </c>
    </row>
    <row r="227" spans="1:5" x14ac:dyDescent="0.25">
      <c r="A227" s="8" t="s">
        <v>301</v>
      </c>
      <c r="B227" s="8" t="s">
        <v>23</v>
      </c>
      <c r="C227" s="8" t="s">
        <v>1</v>
      </c>
      <c r="D227" s="9">
        <v>2</v>
      </c>
      <c r="E227" s="8" t="s">
        <v>4</v>
      </c>
    </row>
    <row r="228" spans="1:5" x14ac:dyDescent="0.25">
      <c r="A228" s="8" t="s">
        <v>302</v>
      </c>
      <c r="B228" s="8" t="s">
        <v>25</v>
      </c>
      <c r="C228" s="8" t="s">
        <v>1</v>
      </c>
      <c r="D228" s="9">
        <v>4</v>
      </c>
      <c r="E228" s="8" t="s">
        <v>5</v>
      </c>
    </row>
    <row r="229" spans="1:5" x14ac:dyDescent="0.25">
      <c r="A229" s="8" t="s">
        <v>303</v>
      </c>
      <c r="B229" s="8" t="s">
        <v>27</v>
      </c>
      <c r="C229" s="8" t="s">
        <v>1</v>
      </c>
      <c r="D229" s="9">
        <v>4</v>
      </c>
      <c r="E229" s="8" t="s">
        <v>6</v>
      </c>
    </row>
    <row r="230" spans="1:5" x14ac:dyDescent="0.25">
      <c r="A230" s="8" t="s">
        <v>304</v>
      </c>
      <c r="B230" s="8" t="s">
        <v>98</v>
      </c>
      <c r="C230" s="8" t="s">
        <v>1</v>
      </c>
      <c r="D230" s="9">
        <v>4</v>
      </c>
      <c r="E230" s="8" t="s">
        <v>7</v>
      </c>
    </row>
    <row r="231" spans="1:5" x14ac:dyDescent="0.25">
      <c r="A231" s="6" t="s">
        <v>305</v>
      </c>
      <c r="B231" s="6" t="s">
        <v>306</v>
      </c>
      <c r="C231" s="6" t="s">
        <v>21</v>
      </c>
      <c r="D231" s="7">
        <f>SUM(D232:D235)</f>
        <v>21</v>
      </c>
      <c r="E231" s="6" t="s">
        <v>12</v>
      </c>
    </row>
    <row r="232" spans="1:5" x14ac:dyDescent="0.25">
      <c r="A232" s="8" t="s">
        <v>307</v>
      </c>
      <c r="B232" s="8" t="s">
        <v>23</v>
      </c>
      <c r="C232" s="8" t="s">
        <v>1</v>
      </c>
      <c r="D232" s="9">
        <v>3</v>
      </c>
      <c r="E232" s="8" t="s">
        <v>4</v>
      </c>
    </row>
    <row r="233" spans="1:5" x14ac:dyDescent="0.25">
      <c r="A233" s="8" t="s">
        <v>308</v>
      </c>
      <c r="B233" s="8" t="s">
        <v>25</v>
      </c>
      <c r="C233" s="8" t="s">
        <v>1</v>
      </c>
      <c r="D233" s="9">
        <v>6</v>
      </c>
      <c r="E233" s="8" t="s">
        <v>5</v>
      </c>
    </row>
    <row r="234" spans="1:5" x14ac:dyDescent="0.25">
      <c r="A234" s="8" t="s">
        <v>309</v>
      </c>
      <c r="B234" s="8" t="s">
        <v>27</v>
      </c>
      <c r="C234" s="8" t="s">
        <v>1</v>
      </c>
      <c r="D234" s="9">
        <v>6</v>
      </c>
      <c r="E234" s="8" t="s">
        <v>6</v>
      </c>
    </row>
    <row r="235" spans="1:5" x14ac:dyDescent="0.25">
      <c r="A235" s="8" t="s">
        <v>310</v>
      </c>
      <c r="B235" s="8" t="s">
        <v>98</v>
      </c>
      <c r="C235" s="8" t="s">
        <v>1</v>
      </c>
      <c r="D235" s="9">
        <v>6</v>
      </c>
      <c r="E235" s="8" t="s">
        <v>7</v>
      </c>
    </row>
    <row r="236" spans="1:5" x14ac:dyDescent="0.25">
      <c r="A236" s="6" t="s">
        <v>311</v>
      </c>
      <c r="B236" s="6" t="s">
        <v>312</v>
      </c>
      <c r="C236" s="6" t="s">
        <v>21</v>
      </c>
      <c r="D236" s="7">
        <f>SUM(D237:D240)</f>
        <v>21</v>
      </c>
      <c r="E236" s="6" t="s">
        <v>12</v>
      </c>
    </row>
    <row r="237" spans="1:5" x14ac:dyDescent="0.25">
      <c r="A237" s="8" t="s">
        <v>313</v>
      </c>
      <c r="B237" s="8" t="s">
        <v>23</v>
      </c>
      <c r="C237" s="8" t="s">
        <v>1</v>
      </c>
      <c r="D237" s="9">
        <v>3</v>
      </c>
      <c r="E237" s="8" t="s">
        <v>4</v>
      </c>
    </row>
    <row r="238" spans="1:5" x14ac:dyDescent="0.25">
      <c r="A238" s="8" t="s">
        <v>314</v>
      </c>
      <c r="B238" s="8" t="s">
        <v>25</v>
      </c>
      <c r="C238" s="8" t="s">
        <v>1</v>
      </c>
      <c r="D238" s="9">
        <v>6</v>
      </c>
      <c r="E238" s="8" t="s">
        <v>5</v>
      </c>
    </row>
    <row r="239" spans="1:5" x14ac:dyDescent="0.25">
      <c r="A239" s="8" t="s">
        <v>315</v>
      </c>
      <c r="B239" s="8" t="s">
        <v>27</v>
      </c>
      <c r="C239" s="8" t="s">
        <v>1</v>
      </c>
      <c r="D239" s="9">
        <v>6</v>
      </c>
      <c r="E239" s="8" t="s">
        <v>6</v>
      </c>
    </row>
    <row r="240" spans="1:5" x14ac:dyDescent="0.25">
      <c r="A240" s="8" t="s">
        <v>316</v>
      </c>
      <c r="B240" s="8" t="s">
        <v>98</v>
      </c>
      <c r="C240" s="8" t="s">
        <v>1</v>
      </c>
      <c r="D240" s="9">
        <v>6</v>
      </c>
      <c r="E240" s="8" t="s">
        <v>7</v>
      </c>
    </row>
    <row r="241" spans="1:5" x14ac:dyDescent="0.25">
      <c r="A241" s="6" t="s">
        <v>317</v>
      </c>
      <c r="B241" s="6" t="s">
        <v>318</v>
      </c>
      <c r="C241" s="6" t="s">
        <v>21</v>
      </c>
      <c r="D241" s="7">
        <f>SUM(D242:D245)</f>
        <v>14</v>
      </c>
      <c r="E241" s="6" t="s">
        <v>12</v>
      </c>
    </row>
    <row r="242" spans="1:5" x14ac:dyDescent="0.25">
      <c r="A242" s="8" t="s">
        <v>319</v>
      </c>
      <c r="B242" s="8" t="s">
        <v>23</v>
      </c>
      <c r="C242" s="8" t="s">
        <v>1</v>
      </c>
      <c r="D242" s="9">
        <v>2</v>
      </c>
      <c r="E242" s="8" t="s">
        <v>4</v>
      </c>
    </row>
    <row r="243" spans="1:5" x14ac:dyDescent="0.25">
      <c r="A243" s="8" t="s">
        <v>320</v>
      </c>
      <c r="B243" s="8" t="s">
        <v>25</v>
      </c>
      <c r="C243" s="8" t="s">
        <v>1</v>
      </c>
      <c r="D243" s="9">
        <v>4</v>
      </c>
      <c r="E243" s="8" t="s">
        <v>5</v>
      </c>
    </row>
    <row r="244" spans="1:5" x14ac:dyDescent="0.25">
      <c r="A244" s="8" t="s">
        <v>321</v>
      </c>
      <c r="B244" s="8" t="s">
        <v>27</v>
      </c>
      <c r="C244" s="8" t="s">
        <v>1</v>
      </c>
      <c r="D244" s="9">
        <v>4</v>
      </c>
      <c r="E244" s="8" t="s">
        <v>6</v>
      </c>
    </row>
    <row r="245" spans="1:5" x14ac:dyDescent="0.25">
      <c r="A245" s="8" t="s">
        <v>322</v>
      </c>
      <c r="B245" s="8" t="s">
        <v>98</v>
      </c>
      <c r="C245" s="8" t="s">
        <v>1</v>
      </c>
      <c r="D245" s="9">
        <v>4</v>
      </c>
      <c r="E245" s="8" t="s">
        <v>7</v>
      </c>
    </row>
    <row r="246" spans="1:5" x14ac:dyDescent="0.25">
      <c r="A246" s="6" t="s">
        <v>323</v>
      </c>
      <c r="B246" s="6" t="s">
        <v>324</v>
      </c>
      <c r="C246" s="6" t="s">
        <v>21</v>
      </c>
      <c r="D246" s="7">
        <f>SUM(D247:D249)</f>
        <v>12</v>
      </c>
      <c r="E246" s="6" t="s">
        <v>12</v>
      </c>
    </row>
    <row r="247" spans="1:5" x14ac:dyDescent="0.25">
      <c r="A247" s="8" t="s">
        <v>325</v>
      </c>
      <c r="B247" s="8" t="s">
        <v>25</v>
      </c>
      <c r="C247" s="8" t="s">
        <v>1</v>
      </c>
      <c r="D247" s="9">
        <v>4</v>
      </c>
      <c r="E247" s="8" t="s">
        <v>5</v>
      </c>
    </row>
    <row r="248" spans="1:5" x14ac:dyDescent="0.25">
      <c r="A248" s="8" t="s">
        <v>326</v>
      </c>
      <c r="B248" s="8" t="s">
        <v>27</v>
      </c>
      <c r="C248" s="8" t="s">
        <v>1</v>
      </c>
      <c r="D248" s="9">
        <v>4</v>
      </c>
      <c r="E248" s="8" t="s">
        <v>6</v>
      </c>
    </row>
    <row r="249" spans="1:5" x14ac:dyDescent="0.25">
      <c r="A249" s="8" t="s">
        <v>327</v>
      </c>
      <c r="B249" s="8" t="s">
        <v>98</v>
      </c>
      <c r="C249" s="8" t="s">
        <v>1</v>
      </c>
      <c r="D249" s="9">
        <v>4</v>
      </c>
      <c r="E249" s="8" t="s">
        <v>7</v>
      </c>
    </row>
    <row r="250" spans="1:5" x14ac:dyDescent="0.25">
      <c r="A250" s="6" t="s">
        <v>328</v>
      </c>
      <c r="B250" s="6" t="s">
        <v>329</v>
      </c>
      <c r="C250" s="6" t="s">
        <v>21</v>
      </c>
      <c r="D250" s="7">
        <f>SUM(D251:D253)</f>
        <v>12</v>
      </c>
      <c r="E250" s="6" t="s">
        <v>12</v>
      </c>
    </row>
    <row r="251" spans="1:5" x14ac:dyDescent="0.25">
      <c r="A251" s="8" t="s">
        <v>330</v>
      </c>
      <c r="B251" s="8" t="s">
        <v>25</v>
      </c>
      <c r="C251" s="8" t="s">
        <v>1</v>
      </c>
      <c r="D251" s="9">
        <v>4</v>
      </c>
      <c r="E251" s="8" t="s">
        <v>5</v>
      </c>
    </row>
    <row r="252" spans="1:5" x14ac:dyDescent="0.25">
      <c r="A252" s="8" t="s">
        <v>331</v>
      </c>
      <c r="B252" s="8" t="s">
        <v>27</v>
      </c>
      <c r="C252" s="8" t="s">
        <v>1</v>
      </c>
      <c r="D252" s="9">
        <v>4</v>
      </c>
      <c r="E252" s="8" t="s">
        <v>6</v>
      </c>
    </row>
    <row r="253" spans="1:5" x14ac:dyDescent="0.25">
      <c r="A253" s="8" t="s">
        <v>332</v>
      </c>
      <c r="B253" s="8" t="s">
        <v>98</v>
      </c>
      <c r="C253" s="8" t="s">
        <v>1</v>
      </c>
      <c r="D253" s="9">
        <v>4</v>
      </c>
      <c r="E253" s="8" t="s">
        <v>7</v>
      </c>
    </row>
    <row r="254" spans="1:5" x14ac:dyDescent="0.25">
      <c r="A254" s="4">
        <v>1.6</v>
      </c>
      <c r="B254" s="4" t="s">
        <v>483</v>
      </c>
      <c r="C254" s="4" t="s">
        <v>18</v>
      </c>
      <c r="D254" s="5">
        <f>D255+D260+D265+D270+D275+D279</f>
        <v>82</v>
      </c>
      <c r="E254" s="4"/>
    </row>
    <row r="255" spans="1:5" x14ac:dyDescent="0.25">
      <c r="A255" s="6" t="s">
        <v>333</v>
      </c>
      <c r="B255" s="6" t="s">
        <v>381</v>
      </c>
      <c r="C255" s="6" t="s">
        <v>21</v>
      </c>
      <c r="D255" s="7">
        <f>SUM(D256:D259)</f>
        <v>14</v>
      </c>
      <c r="E255" s="6" t="s">
        <v>12</v>
      </c>
    </row>
    <row r="256" spans="1:5" x14ac:dyDescent="0.25">
      <c r="A256" s="8" t="s">
        <v>334</v>
      </c>
      <c r="B256" s="8" t="s">
        <v>23</v>
      </c>
      <c r="C256" s="8" t="s">
        <v>1</v>
      </c>
      <c r="D256" s="9">
        <v>2</v>
      </c>
      <c r="E256" s="8" t="s">
        <v>4</v>
      </c>
    </row>
    <row r="257" spans="1:5" x14ac:dyDescent="0.25">
      <c r="A257" s="8" t="s">
        <v>335</v>
      </c>
      <c r="B257" s="8" t="s">
        <v>25</v>
      </c>
      <c r="C257" s="8" t="s">
        <v>1</v>
      </c>
      <c r="D257" s="9">
        <v>4</v>
      </c>
      <c r="E257" s="8" t="s">
        <v>5</v>
      </c>
    </row>
    <row r="258" spans="1:5" x14ac:dyDescent="0.25">
      <c r="A258" s="8" t="s">
        <v>336</v>
      </c>
      <c r="B258" s="8" t="s">
        <v>27</v>
      </c>
      <c r="C258" s="8" t="s">
        <v>1</v>
      </c>
      <c r="D258" s="9">
        <v>4</v>
      </c>
      <c r="E258" s="8" t="s">
        <v>6</v>
      </c>
    </row>
    <row r="259" spans="1:5" x14ac:dyDescent="0.25">
      <c r="A259" s="8" t="s">
        <v>337</v>
      </c>
      <c r="B259" s="8" t="s">
        <v>98</v>
      </c>
      <c r="C259" s="8" t="s">
        <v>1</v>
      </c>
      <c r="D259" s="9">
        <v>4</v>
      </c>
      <c r="E259" s="8" t="s">
        <v>7</v>
      </c>
    </row>
    <row r="260" spans="1:5" x14ac:dyDescent="0.25">
      <c r="A260" s="6" t="s">
        <v>338</v>
      </c>
      <c r="B260" s="6" t="s">
        <v>382</v>
      </c>
      <c r="C260" s="6" t="s">
        <v>21</v>
      </c>
      <c r="D260" s="7">
        <f>SUM(D261:D264)</f>
        <v>14</v>
      </c>
      <c r="E260" s="6" t="s">
        <v>12</v>
      </c>
    </row>
    <row r="261" spans="1:5" x14ac:dyDescent="0.25">
      <c r="A261" s="8" t="s">
        <v>339</v>
      </c>
      <c r="B261" s="8" t="s">
        <v>23</v>
      </c>
      <c r="C261" s="8" t="s">
        <v>1</v>
      </c>
      <c r="D261" s="9">
        <v>2</v>
      </c>
      <c r="E261" s="8" t="s">
        <v>4</v>
      </c>
    </row>
    <row r="262" spans="1:5" x14ac:dyDescent="0.25">
      <c r="A262" s="8" t="s">
        <v>340</v>
      </c>
      <c r="B262" s="8" t="s">
        <v>25</v>
      </c>
      <c r="C262" s="8" t="s">
        <v>1</v>
      </c>
      <c r="D262" s="9">
        <v>4</v>
      </c>
      <c r="E262" s="8" t="s">
        <v>5</v>
      </c>
    </row>
    <row r="263" spans="1:5" x14ac:dyDescent="0.25">
      <c r="A263" s="8" t="s">
        <v>341</v>
      </c>
      <c r="B263" s="8" t="s">
        <v>27</v>
      </c>
      <c r="C263" s="8" t="s">
        <v>1</v>
      </c>
      <c r="D263" s="9">
        <v>4</v>
      </c>
      <c r="E263" s="8" t="s">
        <v>6</v>
      </c>
    </row>
    <row r="264" spans="1:5" x14ac:dyDescent="0.25">
      <c r="A264" s="8" t="s">
        <v>342</v>
      </c>
      <c r="B264" s="8" t="s">
        <v>98</v>
      </c>
      <c r="C264" s="8" t="s">
        <v>1</v>
      </c>
      <c r="D264" s="9">
        <v>4</v>
      </c>
      <c r="E264" s="8" t="s">
        <v>7</v>
      </c>
    </row>
    <row r="265" spans="1:5" x14ac:dyDescent="0.25">
      <c r="A265" s="6" t="s">
        <v>343</v>
      </c>
      <c r="B265" s="6" t="s">
        <v>383</v>
      </c>
      <c r="C265" s="6" t="s">
        <v>21</v>
      </c>
      <c r="D265" s="7">
        <f>SUM(D266:D269)</f>
        <v>14</v>
      </c>
      <c r="E265" s="6" t="s">
        <v>12</v>
      </c>
    </row>
    <row r="266" spans="1:5" x14ac:dyDescent="0.25">
      <c r="A266" s="8" t="s">
        <v>344</v>
      </c>
      <c r="B266" s="8" t="s">
        <v>23</v>
      </c>
      <c r="C266" s="8" t="s">
        <v>1</v>
      </c>
      <c r="D266" s="9">
        <v>2</v>
      </c>
      <c r="E266" s="8" t="s">
        <v>4</v>
      </c>
    </row>
    <row r="267" spans="1:5" x14ac:dyDescent="0.25">
      <c r="A267" s="8" t="s">
        <v>345</v>
      </c>
      <c r="B267" s="8" t="s">
        <v>25</v>
      </c>
      <c r="C267" s="8" t="s">
        <v>1</v>
      </c>
      <c r="D267" s="9">
        <v>4</v>
      </c>
      <c r="E267" s="8" t="s">
        <v>5</v>
      </c>
    </row>
    <row r="268" spans="1:5" x14ac:dyDescent="0.25">
      <c r="A268" s="8" t="s">
        <v>346</v>
      </c>
      <c r="B268" s="8" t="s">
        <v>27</v>
      </c>
      <c r="C268" s="8" t="s">
        <v>1</v>
      </c>
      <c r="D268" s="9">
        <v>4</v>
      </c>
      <c r="E268" s="8" t="s">
        <v>6</v>
      </c>
    </row>
    <row r="269" spans="1:5" x14ac:dyDescent="0.25">
      <c r="A269" s="8" t="s">
        <v>347</v>
      </c>
      <c r="B269" s="8" t="s">
        <v>98</v>
      </c>
      <c r="C269" s="8" t="s">
        <v>1</v>
      </c>
      <c r="D269" s="9">
        <v>4</v>
      </c>
      <c r="E269" s="8" t="s">
        <v>7</v>
      </c>
    </row>
    <row r="270" spans="1:5" x14ac:dyDescent="0.25">
      <c r="A270" s="6" t="s">
        <v>348</v>
      </c>
      <c r="B270" s="6" t="s">
        <v>384</v>
      </c>
      <c r="C270" s="6" t="s">
        <v>21</v>
      </c>
      <c r="D270" s="7">
        <f>SUM(D271:D274)</f>
        <v>14</v>
      </c>
      <c r="E270" s="6" t="s">
        <v>12</v>
      </c>
    </row>
    <row r="271" spans="1:5" x14ac:dyDescent="0.25">
      <c r="A271" s="8" t="s">
        <v>349</v>
      </c>
      <c r="B271" s="8" t="s">
        <v>23</v>
      </c>
      <c r="C271" s="8" t="s">
        <v>1</v>
      </c>
      <c r="D271" s="9">
        <v>2</v>
      </c>
      <c r="E271" s="8" t="s">
        <v>4</v>
      </c>
    </row>
    <row r="272" spans="1:5" x14ac:dyDescent="0.25">
      <c r="A272" s="8" t="s">
        <v>350</v>
      </c>
      <c r="B272" s="8" t="s">
        <v>25</v>
      </c>
      <c r="C272" s="8" t="s">
        <v>1</v>
      </c>
      <c r="D272" s="9">
        <v>4</v>
      </c>
      <c r="E272" s="8" t="s">
        <v>5</v>
      </c>
    </row>
    <row r="273" spans="1:5" x14ac:dyDescent="0.25">
      <c r="A273" s="8" t="s">
        <v>351</v>
      </c>
      <c r="B273" s="8" t="s">
        <v>27</v>
      </c>
      <c r="C273" s="8" t="s">
        <v>1</v>
      </c>
      <c r="D273" s="9">
        <v>4</v>
      </c>
      <c r="E273" s="8" t="s">
        <v>6</v>
      </c>
    </row>
    <row r="274" spans="1:5" x14ac:dyDescent="0.25">
      <c r="A274" s="8" t="s">
        <v>352</v>
      </c>
      <c r="B274" s="8" t="s">
        <v>98</v>
      </c>
      <c r="C274" s="8" t="s">
        <v>1</v>
      </c>
      <c r="D274" s="9">
        <v>4</v>
      </c>
      <c r="E274" s="8" t="s">
        <v>7</v>
      </c>
    </row>
    <row r="275" spans="1:5" x14ac:dyDescent="0.25">
      <c r="A275" s="6" t="s">
        <v>353</v>
      </c>
      <c r="B275" s="6" t="s">
        <v>385</v>
      </c>
      <c r="C275" s="6" t="s">
        <v>21</v>
      </c>
      <c r="D275" s="7">
        <f>SUM(D276:D278)</f>
        <v>12</v>
      </c>
      <c r="E275" s="6" t="s">
        <v>12</v>
      </c>
    </row>
    <row r="276" spans="1:5" x14ac:dyDescent="0.25">
      <c r="A276" s="8" t="s">
        <v>354</v>
      </c>
      <c r="B276" s="8" t="s">
        <v>25</v>
      </c>
      <c r="C276" s="8" t="s">
        <v>1</v>
      </c>
      <c r="D276" s="9">
        <v>4</v>
      </c>
      <c r="E276" s="8" t="s">
        <v>5</v>
      </c>
    </row>
    <row r="277" spans="1:5" x14ac:dyDescent="0.25">
      <c r="A277" s="8" t="s">
        <v>355</v>
      </c>
      <c r="B277" s="8" t="s">
        <v>27</v>
      </c>
      <c r="C277" s="8" t="s">
        <v>1</v>
      </c>
      <c r="D277" s="9">
        <v>4</v>
      </c>
      <c r="E277" s="8" t="s">
        <v>6</v>
      </c>
    </row>
    <row r="278" spans="1:5" x14ac:dyDescent="0.25">
      <c r="A278" s="8" t="s">
        <v>356</v>
      </c>
      <c r="B278" s="8" t="s">
        <v>98</v>
      </c>
      <c r="C278" s="8" t="s">
        <v>1</v>
      </c>
      <c r="D278" s="9">
        <v>4</v>
      </c>
      <c r="E278" s="8" t="s">
        <v>7</v>
      </c>
    </row>
    <row r="279" spans="1:5" x14ac:dyDescent="0.25">
      <c r="A279" s="6" t="s">
        <v>357</v>
      </c>
      <c r="B279" s="6" t="s">
        <v>386</v>
      </c>
      <c r="C279" s="6" t="s">
        <v>21</v>
      </c>
      <c r="D279" s="7">
        <f>SUM(D280:D283)</f>
        <v>14</v>
      </c>
      <c r="E279" s="6" t="s">
        <v>12</v>
      </c>
    </row>
    <row r="280" spans="1:5" x14ac:dyDescent="0.25">
      <c r="A280" s="8" t="s">
        <v>358</v>
      </c>
      <c r="B280" s="8" t="s">
        <v>23</v>
      </c>
      <c r="C280" s="8" t="s">
        <v>1</v>
      </c>
      <c r="D280" s="9">
        <v>2</v>
      </c>
      <c r="E280" s="8" t="s">
        <v>4</v>
      </c>
    </row>
    <row r="281" spans="1:5" x14ac:dyDescent="0.25">
      <c r="A281" s="8" t="s">
        <v>359</v>
      </c>
      <c r="B281" s="8" t="s">
        <v>25</v>
      </c>
      <c r="C281" s="8" t="s">
        <v>1</v>
      </c>
      <c r="D281" s="9">
        <v>4</v>
      </c>
      <c r="E281" s="8" t="s">
        <v>5</v>
      </c>
    </row>
    <row r="282" spans="1:5" x14ac:dyDescent="0.25">
      <c r="A282" s="8" t="s">
        <v>360</v>
      </c>
      <c r="B282" s="8" t="s">
        <v>27</v>
      </c>
      <c r="C282" s="8" t="s">
        <v>1</v>
      </c>
      <c r="D282" s="9">
        <v>4</v>
      </c>
      <c r="E282" s="8" t="s">
        <v>6</v>
      </c>
    </row>
    <row r="283" spans="1:5" x14ac:dyDescent="0.25">
      <c r="A283" s="8" t="s">
        <v>484</v>
      </c>
      <c r="B283" s="8" t="s">
        <v>98</v>
      </c>
      <c r="C283" s="8" t="s">
        <v>1</v>
      </c>
      <c r="D283" s="9">
        <v>4</v>
      </c>
      <c r="E283" s="8" t="s">
        <v>7</v>
      </c>
    </row>
    <row r="284" spans="1:5" x14ac:dyDescent="0.25">
      <c r="A284" s="4">
        <v>1.7</v>
      </c>
      <c r="B284" s="4" t="s">
        <v>388</v>
      </c>
      <c r="C284" s="4" t="s">
        <v>18</v>
      </c>
      <c r="D284" s="5">
        <f>D285+D289+D293+D297+D301+D305+D309+D313+D318+D322</f>
        <v>124</v>
      </c>
      <c r="E284" s="4"/>
    </row>
    <row r="285" spans="1:5" x14ac:dyDescent="0.25">
      <c r="A285" s="6" t="s">
        <v>361</v>
      </c>
      <c r="B285" s="6" t="s">
        <v>389</v>
      </c>
      <c r="C285" s="6" t="s">
        <v>21</v>
      </c>
      <c r="D285" s="7">
        <f>SUM(D286:D288)</f>
        <v>12</v>
      </c>
      <c r="E285" s="6" t="s">
        <v>12</v>
      </c>
    </row>
    <row r="286" spans="1:5" x14ac:dyDescent="0.25">
      <c r="A286" s="8" t="s">
        <v>362</v>
      </c>
      <c r="B286" s="8" t="s">
        <v>25</v>
      </c>
      <c r="C286" s="8" t="s">
        <v>1</v>
      </c>
      <c r="D286" s="9">
        <v>4</v>
      </c>
      <c r="E286" s="8" t="s">
        <v>5</v>
      </c>
    </row>
    <row r="287" spans="1:5" x14ac:dyDescent="0.25">
      <c r="A287" s="8" t="s">
        <v>363</v>
      </c>
      <c r="B287" s="8" t="s">
        <v>27</v>
      </c>
      <c r="C287" s="8" t="s">
        <v>1</v>
      </c>
      <c r="D287" s="9">
        <v>4</v>
      </c>
      <c r="E287" s="8" t="s">
        <v>6</v>
      </c>
    </row>
    <row r="288" spans="1:5" x14ac:dyDescent="0.25">
      <c r="A288" s="8" t="s">
        <v>364</v>
      </c>
      <c r="B288" s="8" t="s">
        <v>98</v>
      </c>
      <c r="C288" s="8" t="s">
        <v>1</v>
      </c>
      <c r="D288" s="9">
        <v>4</v>
      </c>
      <c r="E288" s="8" t="s">
        <v>7</v>
      </c>
    </row>
    <row r="289" spans="1:5" x14ac:dyDescent="0.25">
      <c r="A289" s="6" t="s">
        <v>365</v>
      </c>
      <c r="B289" s="6" t="s">
        <v>390</v>
      </c>
      <c r="C289" s="6" t="s">
        <v>21</v>
      </c>
      <c r="D289" s="7">
        <f>SUM(D290:D292)</f>
        <v>12</v>
      </c>
      <c r="E289" s="6" t="s">
        <v>12</v>
      </c>
    </row>
    <row r="290" spans="1:5" x14ac:dyDescent="0.25">
      <c r="A290" s="8" t="s">
        <v>366</v>
      </c>
      <c r="B290" s="8" t="s">
        <v>25</v>
      </c>
      <c r="C290" s="8" t="s">
        <v>1</v>
      </c>
      <c r="D290" s="9">
        <v>4</v>
      </c>
      <c r="E290" s="8" t="s">
        <v>5</v>
      </c>
    </row>
    <row r="291" spans="1:5" x14ac:dyDescent="0.25">
      <c r="A291" s="8" t="s">
        <v>367</v>
      </c>
      <c r="B291" s="8" t="s">
        <v>27</v>
      </c>
      <c r="C291" s="8" t="s">
        <v>1</v>
      </c>
      <c r="D291" s="9">
        <v>4</v>
      </c>
      <c r="E291" s="8" t="s">
        <v>6</v>
      </c>
    </row>
    <row r="292" spans="1:5" x14ac:dyDescent="0.25">
      <c r="A292" s="8" t="s">
        <v>368</v>
      </c>
      <c r="B292" s="8" t="s">
        <v>98</v>
      </c>
      <c r="C292" s="8" t="s">
        <v>1</v>
      </c>
      <c r="D292" s="9">
        <v>4</v>
      </c>
      <c r="E292" s="8" t="s">
        <v>7</v>
      </c>
    </row>
    <row r="293" spans="1:5" x14ac:dyDescent="0.25">
      <c r="A293" s="6" t="s">
        <v>369</v>
      </c>
      <c r="B293" s="6" t="s">
        <v>391</v>
      </c>
      <c r="C293" s="6" t="s">
        <v>21</v>
      </c>
      <c r="D293" s="7">
        <f>SUM(D294:D296)</f>
        <v>12</v>
      </c>
      <c r="E293" s="6" t="s">
        <v>12</v>
      </c>
    </row>
    <row r="294" spans="1:5" x14ac:dyDescent="0.25">
      <c r="A294" s="8" t="s">
        <v>370</v>
      </c>
      <c r="B294" s="8" t="s">
        <v>25</v>
      </c>
      <c r="C294" s="8" t="s">
        <v>1</v>
      </c>
      <c r="D294" s="9">
        <v>4</v>
      </c>
      <c r="E294" s="8" t="s">
        <v>5</v>
      </c>
    </row>
    <row r="295" spans="1:5" x14ac:dyDescent="0.25">
      <c r="A295" s="8" t="s">
        <v>371</v>
      </c>
      <c r="B295" s="8" t="s">
        <v>27</v>
      </c>
      <c r="C295" s="8" t="s">
        <v>1</v>
      </c>
      <c r="D295" s="9">
        <v>4</v>
      </c>
      <c r="E295" s="8" t="s">
        <v>6</v>
      </c>
    </row>
    <row r="296" spans="1:5" x14ac:dyDescent="0.25">
      <c r="A296" s="8" t="s">
        <v>372</v>
      </c>
      <c r="B296" s="8" t="s">
        <v>98</v>
      </c>
      <c r="C296" s="8" t="s">
        <v>1</v>
      </c>
      <c r="D296" s="9">
        <v>4</v>
      </c>
      <c r="E296" s="8" t="s">
        <v>7</v>
      </c>
    </row>
    <row r="297" spans="1:5" x14ac:dyDescent="0.25">
      <c r="A297" s="6" t="s">
        <v>373</v>
      </c>
      <c r="B297" s="6" t="s">
        <v>392</v>
      </c>
      <c r="C297" s="6" t="s">
        <v>21</v>
      </c>
      <c r="D297" s="7">
        <f>SUM(D298:D300)</f>
        <v>12</v>
      </c>
      <c r="E297" s="6" t="s">
        <v>12</v>
      </c>
    </row>
    <row r="298" spans="1:5" x14ac:dyDescent="0.25">
      <c r="A298" s="8" t="s">
        <v>374</v>
      </c>
      <c r="B298" s="8" t="s">
        <v>25</v>
      </c>
      <c r="C298" s="8" t="s">
        <v>1</v>
      </c>
      <c r="D298" s="9">
        <v>4</v>
      </c>
      <c r="E298" s="8" t="s">
        <v>5</v>
      </c>
    </row>
    <row r="299" spans="1:5" x14ac:dyDescent="0.25">
      <c r="A299" s="8" t="s">
        <v>375</v>
      </c>
      <c r="B299" s="8" t="s">
        <v>27</v>
      </c>
      <c r="C299" s="8" t="s">
        <v>1</v>
      </c>
      <c r="D299" s="9">
        <v>4</v>
      </c>
      <c r="E299" s="8" t="s">
        <v>6</v>
      </c>
    </row>
    <row r="300" spans="1:5" x14ac:dyDescent="0.25">
      <c r="A300" s="8" t="s">
        <v>376</v>
      </c>
      <c r="B300" s="8" t="s">
        <v>98</v>
      </c>
      <c r="C300" s="8" t="s">
        <v>1</v>
      </c>
      <c r="D300" s="9">
        <v>4</v>
      </c>
      <c r="E300" s="8" t="s">
        <v>7</v>
      </c>
    </row>
    <row r="301" spans="1:5" x14ac:dyDescent="0.25">
      <c r="A301" s="6" t="s">
        <v>377</v>
      </c>
      <c r="B301" s="6" t="s">
        <v>393</v>
      </c>
      <c r="C301" s="6" t="s">
        <v>21</v>
      </c>
      <c r="D301" s="7">
        <f>SUM(D302:D304)</f>
        <v>12</v>
      </c>
      <c r="E301" s="6" t="s">
        <v>12</v>
      </c>
    </row>
    <row r="302" spans="1:5" x14ac:dyDescent="0.25">
      <c r="A302" s="8" t="s">
        <v>489</v>
      </c>
      <c r="B302" s="8" t="s">
        <v>25</v>
      </c>
      <c r="C302" s="8" t="s">
        <v>1</v>
      </c>
      <c r="D302" s="9">
        <v>4</v>
      </c>
      <c r="E302" s="8" t="s">
        <v>5</v>
      </c>
    </row>
    <row r="303" spans="1:5" x14ac:dyDescent="0.25">
      <c r="A303" s="8" t="s">
        <v>490</v>
      </c>
      <c r="B303" s="8" t="s">
        <v>27</v>
      </c>
      <c r="C303" s="8" t="s">
        <v>1</v>
      </c>
      <c r="D303" s="9">
        <v>4</v>
      </c>
      <c r="E303" s="8" t="s">
        <v>6</v>
      </c>
    </row>
    <row r="304" spans="1:5" x14ac:dyDescent="0.25">
      <c r="A304" s="8" t="s">
        <v>491</v>
      </c>
      <c r="B304" s="8" t="s">
        <v>98</v>
      </c>
      <c r="C304" s="8" t="s">
        <v>1</v>
      </c>
      <c r="D304" s="9">
        <v>4</v>
      </c>
      <c r="E304" s="8" t="s">
        <v>7</v>
      </c>
    </row>
    <row r="305" spans="1:5" x14ac:dyDescent="0.25">
      <c r="A305" s="6" t="s">
        <v>378</v>
      </c>
      <c r="B305" s="6" t="s">
        <v>394</v>
      </c>
      <c r="C305" s="6" t="s">
        <v>21</v>
      </c>
      <c r="D305" s="7">
        <f>SUM(D306:D308)</f>
        <v>12</v>
      </c>
      <c r="E305" s="6" t="s">
        <v>12</v>
      </c>
    </row>
    <row r="306" spans="1:5" x14ac:dyDescent="0.25">
      <c r="A306" s="8" t="s">
        <v>492</v>
      </c>
      <c r="B306" s="8" t="s">
        <v>25</v>
      </c>
      <c r="C306" s="8" t="s">
        <v>1</v>
      </c>
      <c r="D306" s="9">
        <v>4</v>
      </c>
      <c r="E306" s="8" t="s">
        <v>5</v>
      </c>
    </row>
    <row r="307" spans="1:5" x14ac:dyDescent="0.25">
      <c r="A307" s="8" t="s">
        <v>493</v>
      </c>
      <c r="B307" s="8" t="s">
        <v>27</v>
      </c>
      <c r="C307" s="8" t="s">
        <v>1</v>
      </c>
      <c r="D307" s="9">
        <v>4</v>
      </c>
      <c r="E307" s="8" t="s">
        <v>6</v>
      </c>
    </row>
    <row r="308" spans="1:5" x14ac:dyDescent="0.25">
      <c r="A308" s="8" t="s">
        <v>494</v>
      </c>
      <c r="B308" s="8" t="s">
        <v>98</v>
      </c>
      <c r="C308" s="8" t="s">
        <v>1</v>
      </c>
      <c r="D308" s="9">
        <v>4</v>
      </c>
      <c r="E308" s="8" t="s">
        <v>7</v>
      </c>
    </row>
    <row r="309" spans="1:5" x14ac:dyDescent="0.25">
      <c r="A309" s="6" t="s">
        <v>485</v>
      </c>
      <c r="B309" s="6" t="s">
        <v>395</v>
      </c>
      <c r="C309" s="6" t="s">
        <v>21</v>
      </c>
      <c r="D309" s="7">
        <f>SUM(D310:D312)</f>
        <v>12</v>
      </c>
      <c r="E309" s="6" t="s">
        <v>12</v>
      </c>
    </row>
    <row r="310" spans="1:5" x14ac:dyDescent="0.25">
      <c r="A310" s="8" t="s">
        <v>495</v>
      </c>
      <c r="B310" s="8" t="s">
        <v>25</v>
      </c>
      <c r="C310" s="8" t="s">
        <v>1</v>
      </c>
      <c r="D310" s="9">
        <v>4</v>
      </c>
      <c r="E310" s="8" t="s">
        <v>5</v>
      </c>
    </row>
    <row r="311" spans="1:5" x14ac:dyDescent="0.25">
      <c r="A311" s="8" t="s">
        <v>496</v>
      </c>
      <c r="B311" s="8" t="s">
        <v>27</v>
      </c>
      <c r="C311" s="8" t="s">
        <v>1</v>
      </c>
      <c r="D311" s="9">
        <v>4</v>
      </c>
      <c r="E311" s="8" t="s">
        <v>6</v>
      </c>
    </row>
    <row r="312" spans="1:5" x14ac:dyDescent="0.25">
      <c r="A312" s="8" t="s">
        <v>497</v>
      </c>
      <c r="B312" s="8" t="s">
        <v>98</v>
      </c>
      <c r="C312" s="8" t="s">
        <v>1</v>
      </c>
      <c r="D312" s="9">
        <v>4</v>
      </c>
      <c r="E312" s="8" t="s">
        <v>7</v>
      </c>
    </row>
    <row r="313" spans="1:5" x14ac:dyDescent="0.25">
      <c r="A313" s="6" t="s">
        <v>486</v>
      </c>
      <c r="B313" s="6" t="s">
        <v>396</v>
      </c>
      <c r="C313" s="6" t="s">
        <v>21</v>
      </c>
      <c r="D313" s="7">
        <f>SUM(D314:D317)</f>
        <v>14</v>
      </c>
      <c r="E313" s="6" t="s">
        <v>12</v>
      </c>
    </row>
    <row r="314" spans="1:5" x14ac:dyDescent="0.25">
      <c r="A314" s="8" t="s">
        <v>498</v>
      </c>
      <c r="B314" s="8" t="s">
        <v>23</v>
      </c>
      <c r="C314" s="8" t="s">
        <v>1</v>
      </c>
      <c r="D314" s="9">
        <v>2</v>
      </c>
      <c r="E314" s="8" t="s">
        <v>4</v>
      </c>
    </row>
    <row r="315" spans="1:5" x14ac:dyDescent="0.25">
      <c r="A315" s="8" t="s">
        <v>499</v>
      </c>
      <c r="B315" s="8" t="s">
        <v>25</v>
      </c>
      <c r="C315" s="8" t="s">
        <v>1</v>
      </c>
      <c r="D315" s="9">
        <v>4</v>
      </c>
      <c r="E315" s="8" t="s">
        <v>5</v>
      </c>
    </row>
    <row r="316" spans="1:5" x14ac:dyDescent="0.25">
      <c r="A316" s="8" t="s">
        <v>500</v>
      </c>
      <c r="B316" s="8" t="s">
        <v>27</v>
      </c>
      <c r="C316" s="8" t="s">
        <v>1</v>
      </c>
      <c r="D316" s="9">
        <v>4</v>
      </c>
      <c r="E316" s="8" t="s">
        <v>6</v>
      </c>
    </row>
    <row r="317" spans="1:5" x14ac:dyDescent="0.25">
      <c r="A317" s="8" t="s">
        <v>507</v>
      </c>
      <c r="B317" s="8" t="s">
        <v>98</v>
      </c>
      <c r="C317" s="8" t="s">
        <v>1</v>
      </c>
      <c r="D317" s="9">
        <v>4</v>
      </c>
      <c r="E317" s="8" t="s">
        <v>7</v>
      </c>
    </row>
    <row r="318" spans="1:5" x14ac:dyDescent="0.25">
      <c r="A318" s="6" t="s">
        <v>487</v>
      </c>
      <c r="B318" s="6" t="s">
        <v>397</v>
      </c>
      <c r="C318" s="6" t="s">
        <v>21</v>
      </c>
      <c r="D318" s="7">
        <f>SUM(D319:D321)</f>
        <v>12</v>
      </c>
      <c r="E318" s="6" t="s">
        <v>12</v>
      </c>
    </row>
    <row r="319" spans="1:5" x14ac:dyDescent="0.25">
      <c r="A319" s="8" t="s">
        <v>501</v>
      </c>
      <c r="B319" s="8" t="s">
        <v>25</v>
      </c>
      <c r="C319" s="8" t="s">
        <v>1</v>
      </c>
      <c r="D319" s="9">
        <v>4</v>
      </c>
      <c r="E319" s="8" t="s">
        <v>5</v>
      </c>
    </row>
    <row r="320" spans="1:5" x14ac:dyDescent="0.25">
      <c r="A320" s="8" t="s">
        <v>502</v>
      </c>
      <c r="B320" s="8" t="s">
        <v>27</v>
      </c>
      <c r="C320" s="8" t="s">
        <v>1</v>
      </c>
      <c r="D320" s="9">
        <v>4</v>
      </c>
      <c r="E320" s="8" t="s">
        <v>6</v>
      </c>
    </row>
    <row r="321" spans="1:5" x14ac:dyDescent="0.25">
      <c r="A321" s="8" t="s">
        <v>503</v>
      </c>
      <c r="B321" s="8" t="s">
        <v>98</v>
      </c>
      <c r="C321" s="8" t="s">
        <v>1</v>
      </c>
      <c r="D321" s="9">
        <v>4</v>
      </c>
      <c r="E321" s="8" t="s">
        <v>7</v>
      </c>
    </row>
    <row r="322" spans="1:5" x14ac:dyDescent="0.25">
      <c r="A322" s="6" t="s">
        <v>488</v>
      </c>
      <c r="B322" s="6" t="s">
        <v>398</v>
      </c>
      <c r="C322" s="6" t="s">
        <v>21</v>
      </c>
      <c r="D322" s="7">
        <f>SUM(D323:D326)</f>
        <v>14</v>
      </c>
      <c r="E322" s="6" t="s">
        <v>12</v>
      </c>
    </row>
    <row r="323" spans="1:5" x14ac:dyDescent="0.25">
      <c r="A323" s="8" t="s">
        <v>504</v>
      </c>
      <c r="B323" s="8" t="s">
        <v>23</v>
      </c>
      <c r="C323" s="8" t="s">
        <v>1</v>
      </c>
      <c r="D323" s="9">
        <v>2</v>
      </c>
      <c r="E323" s="8" t="s">
        <v>4</v>
      </c>
    </row>
    <row r="324" spans="1:5" x14ac:dyDescent="0.25">
      <c r="A324" s="8" t="s">
        <v>505</v>
      </c>
      <c r="B324" s="8" t="s">
        <v>25</v>
      </c>
      <c r="C324" s="8" t="s">
        <v>1</v>
      </c>
      <c r="D324" s="9">
        <v>4</v>
      </c>
      <c r="E324" s="8" t="s">
        <v>5</v>
      </c>
    </row>
    <row r="325" spans="1:5" x14ac:dyDescent="0.25">
      <c r="A325" s="8" t="s">
        <v>506</v>
      </c>
      <c r="B325" s="8" t="s">
        <v>27</v>
      </c>
      <c r="C325" s="8" t="s">
        <v>1</v>
      </c>
      <c r="D325" s="9">
        <v>4</v>
      </c>
      <c r="E325" s="8" t="s">
        <v>6</v>
      </c>
    </row>
    <row r="326" spans="1:5" x14ac:dyDescent="0.25">
      <c r="A326" s="8" t="s">
        <v>508</v>
      </c>
      <c r="B326" s="8" t="s">
        <v>98</v>
      </c>
      <c r="C326" s="8" t="s">
        <v>1</v>
      </c>
      <c r="D326" s="9">
        <v>4</v>
      </c>
      <c r="E326" s="8" t="s">
        <v>7</v>
      </c>
    </row>
    <row r="327" spans="1:5" x14ac:dyDescent="0.25">
      <c r="A327" s="4" t="s">
        <v>399</v>
      </c>
      <c r="B327" s="4" t="s">
        <v>400</v>
      </c>
      <c r="C327" s="4" t="s">
        <v>18</v>
      </c>
      <c r="D327" s="5">
        <f>D328+D332+D336+D340+D344+D348+D352+D356+D360+D364+D368+D372+D376+D380+D384+D388</f>
        <v>48</v>
      </c>
      <c r="E327" s="4"/>
    </row>
    <row r="328" spans="1:5" x14ac:dyDescent="0.25">
      <c r="A328" s="6" t="s">
        <v>401</v>
      </c>
      <c r="B328" s="6" t="s">
        <v>402</v>
      </c>
      <c r="C328" s="6" t="s">
        <v>21</v>
      </c>
      <c r="D328" s="7">
        <f>SUM(D329:D331)</f>
        <v>3</v>
      </c>
      <c r="E328" s="6" t="s">
        <v>12</v>
      </c>
    </row>
    <row r="329" spans="1:5" x14ac:dyDescent="0.25">
      <c r="A329" s="8" t="s">
        <v>403</v>
      </c>
      <c r="B329" s="8" t="s">
        <v>23</v>
      </c>
      <c r="C329" s="8" t="s">
        <v>1</v>
      </c>
      <c r="D329" s="9">
        <v>1</v>
      </c>
      <c r="E329" s="8" t="s">
        <v>4</v>
      </c>
    </row>
    <row r="330" spans="1:5" x14ac:dyDescent="0.25">
      <c r="A330" s="8" t="s">
        <v>404</v>
      </c>
      <c r="B330" s="8" t="s">
        <v>25</v>
      </c>
      <c r="C330" s="8" t="s">
        <v>1</v>
      </c>
      <c r="D330" s="9">
        <v>1</v>
      </c>
      <c r="E330" s="8" t="s">
        <v>5</v>
      </c>
    </row>
    <row r="331" spans="1:5" x14ac:dyDescent="0.25">
      <c r="A331" s="8" t="s">
        <v>405</v>
      </c>
      <c r="B331" s="8" t="s">
        <v>27</v>
      </c>
      <c r="C331" s="8" t="s">
        <v>1</v>
      </c>
      <c r="D331" s="9">
        <v>1</v>
      </c>
      <c r="E331" s="8" t="s">
        <v>6</v>
      </c>
    </row>
    <row r="332" spans="1:5" x14ac:dyDescent="0.25">
      <c r="A332" s="6" t="s">
        <v>406</v>
      </c>
      <c r="B332" s="6" t="s">
        <v>407</v>
      </c>
      <c r="C332" s="6" t="s">
        <v>21</v>
      </c>
      <c r="D332" s="7">
        <f>SUM(D333:D335)</f>
        <v>3</v>
      </c>
      <c r="E332" s="6" t="s">
        <v>12</v>
      </c>
    </row>
    <row r="333" spans="1:5" x14ac:dyDescent="0.25">
      <c r="A333" s="8" t="s">
        <v>408</v>
      </c>
      <c r="B333" s="8" t="s">
        <v>23</v>
      </c>
      <c r="C333" s="8" t="s">
        <v>1</v>
      </c>
      <c r="D333" s="9">
        <v>1</v>
      </c>
      <c r="E333" s="8" t="s">
        <v>4</v>
      </c>
    </row>
    <row r="334" spans="1:5" x14ac:dyDescent="0.25">
      <c r="A334" s="8" t="s">
        <v>409</v>
      </c>
      <c r="B334" s="8" t="s">
        <v>25</v>
      </c>
      <c r="C334" s="8" t="s">
        <v>1</v>
      </c>
      <c r="D334" s="9">
        <v>1</v>
      </c>
      <c r="E334" s="8" t="s">
        <v>5</v>
      </c>
    </row>
    <row r="335" spans="1:5" x14ac:dyDescent="0.25">
      <c r="A335" s="8" t="s">
        <v>410</v>
      </c>
      <c r="B335" s="8" t="s">
        <v>27</v>
      </c>
      <c r="C335" s="8" t="s">
        <v>1</v>
      </c>
      <c r="D335" s="9">
        <v>1</v>
      </c>
      <c r="E335" s="8" t="s">
        <v>6</v>
      </c>
    </row>
    <row r="336" spans="1:5" x14ac:dyDescent="0.25">
      <c r="A336" s="6" t="s">
        <v>411</v>
      </c>
      <c r="B336" s="6" t="s">
        <v>412</v>
      </c>
      <c r="C336" s="6" t="s">
        <v>21</v>
      </c>
      <c r="D336" s="7">
        <f>SUM(D337:D339)</f>
        <v>3</v>
      </c>
      <c r="E336" s="6" t="s">
        <v>12</v>
      </c>
    </row>
    <row r="337" spans="1:5" x14ac:dyDescent="0.25">
      <c r="A337" s="8" t="s">
        <v>413</v>
      </c>
      <c r="B337" s="8" t="s">
        <v>23</v>
      </c>
      <c r="C337" s="8" t="s">
        <v>1</v>
      </c>
      <c r="D337" s="9">
        <v>1</v>
      </c>
      <c r="E337" s="8" t="s">
        <v>4</v>
      </c>
    </row>
    <row r="338" spans="1:5" x14ac:dyDescent="0.25">
      <c r="A338" s="8" t="s">
        <v>414</v>
      </c>
      <c r="B338" s="8" t="s">
        <v>25</v>
      </c>
      <c r="C338" s="8" t="s">
        <v>1</v>
      </c>
      <c r="D338" s="9">
        <v>1</v>
      </c>
      <c r="E338" s="8" t="s">
        <v>5</v>
      </c>
    </row>
    <row r="339" spans="1:5" x14ac:dyDescent="0.25">
      <c r="A339" s="8" t="s">
        <v>415</v>
      </c>
      <c r="B339" s="8" t="s">
        <v>27</v>
      </c>
      <c r="C339" s="8" t="s">
        <v>1</v>
      </c>
      <c r="D339" s="9">
        <v>1</v>
      </c>
      <c r="E339" s="8" t="s">
        <v>6</v>
      </c>
    </row>
    <row r="340" spans="1:5" x14ac:dyDescent="0.25">
      <c r="A340" s="6" t="s">
        <v>416</v>
      </c>
      <c r="B340" s="6" t="s">
        <v>417</v>
      </c>
      <c r="C340" s="6" t="s">
        <v>21</v>
      </c>
      <c r="D340" s="7">
        <f>SUM(D341:D343)</f>
        <v>3</v>
      </c>
      <c r="E340" s="6" t="s">
        <v>12</v>
      </c>
    </row>
    <row r="341" spans="1:5" x14ac:dyDescent="0.25">
      <c r="A341" s="8" t="s">
        <v>418</v>
      </c>
      <c r="B341" s="8" t="s">
        <v>23</v>
      </c>
      <c r="C341" s="8" t="s">
        <v>1</v>
      </c>
      <c r="D341" s="9">
        <v>1</v>
      </c>
      <c r="E341" s="8" t="s">
        <v>4</v>
      </c>
    </row>
    <row r="342" spans="1:5" x14ac:dyDescent="0.25">
      <c r="A342" s="8" t="s">
        <v>419</v>
      </c>
      <c r="B342" s="8" t="s">
        <v>25</v>
      </c>
      <c r="C342" s="8" t="s">
        <v>1</v>
      </c>
      <c r="D342" s="9">
        <v>1</v>
      </c>
      <c r="E342" s="8" t="s">
        <v>5</v>
      </c>
    </row>
    <row r="343" spans="1:5" x14ac:dyDescent="0.25">
      <c r="A343" s="8" t="s">
        <v>420</v>
      </c>
      <c r="B343" s="8" t="s">
        <v>27</v>
      </c>
      <c r="C343" s="8" t="s">
        <v>1</v>
      </c>
      <c r="D343" s="9">
        <v>1</v>
      </c>
      <c r="E343" s="8" t="s">
        <v>6</v>
      </c>
    </row>
    <row r="344" spans="1:5" x14ac:dyDescent="0.25">
      <c r="A344" s="6" t="s">
        <v>421</v>
      </c>
      <c r="B344" s="6" t="s">
        <v>422</v>
      </c>
      <c r="C344" s="6" t="s">
        <v>21</v>
      </c>
      <c r="D344" s="7">
        <f>SUM(D345:D347)</f>
        <v>3</v>
      </c>
      <c r="E344" s="6" t="s">
        <v>12</v>
      </c>
    </row>
    <row r="345" spans="1:5" x14ac:dyDescent="0.25">
      <c r="A345" s="8" t="s">
        <v>423</v>
      </c>
      <c r="B345" s="8" t="s">
        <v>23</v>
      </c>
      <c r="C345" s="8" t="s">
        <v>1</v>
      </c>
      <c r="D345" s="9">
        <v>1</v>
      </c>
      <c r="E345" s="8" t="s">
        <v>4</v>
      </c>
    </row>
    <row r="346" spans="1:5" x14ac:dyDescent="0.25">
      <c r="A346" s="8" t="s">
        <v>424</v>
      </c>
      <c r="B346" s="8" t="s">
        <v>25</v>
      </c>
      <c r="C346" s="8" t="s">
        <v>1</v>
      </c>
      <c r="D346" s="9">
        <v>1</v>
      </c>
      <c r="E346" s="8" t="s">
        <v>5</v>
      </c>
    </row>
    <row r="347" spans="1:5" x14ac:dyDescent="0.25">
      <c r="A347" s="8" t="s">
        <v>425</v>
      </c>
      <c r="B347" s="8" t="s">
        <v>27</v>
      </c>
      <c r="C347" s="8" t="s">
        <v>1</v>
      </c>
      <c r="D347" s="9">
        <v>1</v>
      </c>
      <c r="E347" s="8" t="s">
        <v>6</v>
      </c>
    </row>
    <row r="348" spans="1:5" x14ac:dyDescent="0.25">
      <c r="A348" s="6" t="s">
        <v>426</v>
      </c>
      <c r="B348" s="6" t="s">
        <v>427</v>
      </c>
      <c r="C348" s="6" t="s">
        <v>21</v>
      </c>
      <c r="D348" s="7">
        <f>SUM(D349:D351)</f>
        <v>3</v>
      </c>
      <c r="E348" s="6" t="s">
        <v>12</v>
      </c>
    </row>
    <row r="349" spans="1:5" x14ac:dyDescent="0.25">
      <c r="A349" s="8" t="s">
        <v>428</v>
      </c>
      <c r="B349" s="8" t="s">
        <v>23</v>
      </c>
      <c r="C349" s="8" t="s">
        <v>1</v>
      </c>
      <c r="D349" s="9">
        <v>1</v>
      </c>
      <c r="E349" s="8" t="s">
        <v>4</v>
      </c>
    </row>
    <row r="350" spans="1:5" x14ac:dyDescent="0.25">
      <c r="A350" s="8" t="s">
        <v>429</v>
      </c>
      <c r="B350" s="8" t="s">
        <v>25</v>
      </c>
      <c r="C350" s="8" t="s">
        <v>1</v>
      </c>
      <c r="D350" s="9">
        <v>1</v>
      </c>
      <c r="E350" s="8" t="s">
        <v>5</v>
      </c>
    </row>
    <row r="351" spans="1:5" x14ac:dyDescent="0.25">
      <c r="A351" s="8" t="s">
        <v>430</v>
      </c>
      <c r="B351" s="8" t="s">
        <v>27</v>
      </c>
      <c r="C351" s="8" t="s">
        <v>1</v>
      </c>
      <c r="D351" s="9">
        <v>1</v>
      </c>
      <c r="E351" s="8" t="s">
        <v>6</v>
      </c>
    </row>
    <row r="352" spans="1:5" x14ac:dyDescent="0.25">
      <c r="A352" s="6" t="s">
        <v>431</v>
      </c>
      <c r="B352" s="6" t="s">
        <v>432</v>
      </c>
      <c r="C352" s="6" t="s">
        <v>21</v>
      </c>
      <c r="D352" s="7">
        <f>SUM(D353:D355)</f>
        <v>3</v>
      </c>
      <c r="E352" s="6" t="s">
        <v>12</v>
      </c>
    </row>
    <row r="353" spans="1:5" x14ac:dyDescent="0.25">
      <c r="A353" s="8" t="s">
        <v>433</v>
      </c>
      <c r="B353" s="8" t="s">
        <v>23</v>
      </c>
      <c r="C353" s="8" t="s">
        <v>1</v>
      </c>
      <c r="D353" s="9">
        <v>1</v>
      </c>
      <c r="E353" s="8" t="s">
        <v>4</v>
      </c>
    </row>
    <row r="354" spans="1:5" x14ac:dyDescent="0.25">
      <c r="A354" s="8" t="s">
        <v>434</v>
      </c>
      <c r="B354" s="8" t="s">
        <v>25</v>
      </c>
      <c r="C354" s="8" t="s">
        <v>1</v>
      </c>
      <c r="D354" s="9">
        <v>1</v>
      </c>
      <c r="E354" s="8" t="s">
        <v>5</v>
      </c>
    </row>
    <row r="355" spans="1:5" x14ac:dyDescent="0.25">
      <c r="A355" s="8" t="s">
        <v>435</v>
      </c>
      <c r="B355" s="8" t="s">
        <v>27</v>
      </c>
      <c r="C355" s="8" t="s">
        <v>1</v>
      </c>
      <c r="D355" s="9">
        <v>1</v>
      </c>
      <c r="E355" s="8" t="s">
        <v>6</v>
      </c>
    </row>
    <row r="356" spans="1:5" x14ac:dyDescent="0.25">
      <c r="A356" s="6" t="s">
        <v>436</v>
      </c>
      <c r="B356" s="6" t="s">
        <v>437</v>
      </c>
      <c r="C356" s="6" t="s">
        <v>21</v>
      </c>
      <c r="D356" s="7">
        <f>SUM(D357:D359)</f>
        <v>3</v>
      </c>
      <c r="E356" s="6" t="s">
        <v>12</v>
      </c>
    </row>
    <row r="357" spans="1:5" x14ac:dyDescent="0.25">
      <c r="A357" s="8" t="s">
        <v>438</v>
      </c>
      <c r="B357" s="8" t="s">
        <v>23</v>
      </c>
      <c r="C357" s="8" t="s">
        <v>1</v>
      </c>
      <c r="D357" s="9">
        <v>1</v>
      </c>
      <c r="E357" s="8" t="s">
        <v>4</v>
      </c>
    </row>
    <row r="358" spans="1:5" x14ac:dyDescent="0.25">
      <c r="A358" s="8" t="s">
        <v>439</v>
      </c>
      <c r="B358" s="8" t="s">
        <v>25</v>
      </c>
      <c r="C358" s="8" t="s">
        <v>1</v>
      </c>
      <c r="D358" s="9">
        <v>1</v>
      </c>
      <c r="E358" s="8" t="s">
        <v>5</v>
      </c>
    </row>
    <row r="359" spans="1:5" x14ac:dyDescent="0.25">
      <c r="A359" s="8" t="s">
        <v>440</v>
      </c>
      <c r="B359" s="8" t="s">
        <v>27</v>
      </c>
      <c r="C359" s="8" t="s">
        <v>1</v>
      </c>
      <c r="D359" s="9">
        <v>1</v>
      </c>
      <c r="E359" s="8" t="s">
        <v>6</v>
      </c>
    </row>
    <row r="360" spans="1:5" x14ac:dyDescent="0.25">
      <c r="A360" s="6" t="s">
        <v>441</v>
      </c>
      <c r="B360" s="6" t="s">
        <v>442</v>
      </c>
      <c r="C360" s="6" t="s">
        <v>21</v>
      </c>
      <c r="D360" s="7">
        <f>SUM(D361:D363)</f>
        <v>3</v>
      </c>
      <c r="E360" s="6" t="s">
        <v>12</v>
      </c>
    </row>
    <row r="361" spans="1:5" x14ac:dyDescent="0.25">
      <c r="A361" s="8" t="s">
        <v>443</v>
      </c>
      <c r="B361" s="8" t="s">
        <v>23</v>
      </c>
      <c r="C361" s="8" t="s">
        <v>1</v>
      </c>
      <c r="D361" s="9">
        <v>1</v>
      </c>
      <c r="E361" s="8" t="s">
        <v>4</v>
      </c>
    </row>
    <row r="362" spans="1:5" x14ac:dyDescent="0.25">
      <c r="A362" s="8" t="s">
        <v>444</v>
      </c>
      <c r="B362" s="8" t="s">
        <v>25</v>
      </c>
      <c r="C362" s="8" t="s">
        <v>1</v>
      </c>
      <c r="D362" s="9">
        <v>1</v>
      </c>
      <c r="E362" s="8" t="s">
        <v>5</v>
      </c>
    </row>
    <row r="363" spans="1:5" x14ac:dyDescent="0.25">
      <c r="A363" s="8" t="s">
        <v>445</v>
      </c>
      <c r="B363" s="8" t="s">
        <v>27</v>
      </c>
      <c r="C363" s="8" t="s">
        <v>1</v>
      </c>
      <c r="D363" s="9">
        <v>1</v>
      </c>
      <c r="E363" s="8" t="s">
        <v>6</v>
      </c>
    </row>
    <row r="364" spans="1:5" x14ac:dyDescent="0.25">
      <c r="A364" s="6" t="s">
        <v>446</v>
      </c>
      <c r="B364" s="6" t="s">
        <v>447</v>
      </c>
      <c r="C364" s="6" t="s">
        <v>21</v>
      </c>
      <c r="D364" s="7">
        <f>SUM(D365:D367)</f>
        <v>3</v>
      </c>
      <c r="E364" s="6" t="s">
        <v>12</v>
      </c>
    </row>
    <row r="365" spans="1:5" x14ac:dyDescent="0.25">
      <c r="A365" s="8" t="s">
        <v>448</v>
      </c>
      <c r="B365" s="8" t="s">
        <v>23</v>
      </c>
      <c r="C365" s="8" t="s">
        <v>1</v>
      </c>
      <c r="D365" s="9">
        <v>1</v>
      </c>
      <c r="E365" s="8" t="s">
        <v>4</v>
      </c>
    </row>
    <row r="366" spans="1:5" x14ac:dyDescent="0.25">
      <c r="A366" s="8" t="s">
        <v>449</v>
      </c>
      <c r="B366" s="8" t="s">
        <v>25</v>
      </c>
      <c r="C366" s="8" t="s">
        <v>1</v>
      </c>
      <c r="D366" s="9">
        <v>1</v>
      </c>
      <c r="E366" s="8" t="s">
        <v>5</v>
      </c>
    </row>
    <row r="367" spans="1:5" x14ac:dyDescent="0.25">
      <c r="A367" s="8" t="s">
        <v>450</v>
      </c>
      <c r="B367" s="8" t="s">
        <v>27</v>
      </c>
      <c r="C367" s="8" t="s">
        <v>1</v>
      </c>
      <c r="D367" s="9">
        <v>1</v>
      </c>
      <c r="E367" s="8" t="s">
        <v>6</v>
      </c>
    </row>
    <row r="368" spans="1:5" x14ac:dyDescent="0.25">
      <c r="A368" s="6" t="s">
        <v>451</v>
      </c>
      <c r="B368" s="6" t="s">
        <v>452</v>
      </c>
      <c r="C368" s="6" t="s">
        <v>21</v>
      </c>
      <c r="D368" s="7">
        <f>SUM(D369:D371)</f>
        <v>3</v>
      </c>
      <c r="E368" s="6" t="s">
        <v>12</v>
      </c>
    </row>
    <row r="369" spans="1:5" x14ac:dyDescent="0.25">
      <c r="A369" s="8" t="s">
        <v>453</v>
      </c>
      <c r="B369" s="8" t="s">
        <v>23</v>
      </c>
      <c r="C369" s="8" t="s">
        <v>1</v>
      </c>
      <c r="D369" s="9">
        <v>1</v>
      </c>
      <c r="E369" s="8" t="s">
        <v>4</v>
      </c>
    </row>
    <row r="370" spans="1:5" x14ac:dyDescent="0.25">
      <c r="A370" s="8" t="s">
        <v>454</v>
      </c>
      <c r="B370" s="8" t="s">
        <v>25</v>
      </c>
      <c r="C370" s="8" t="s">
        <v>1</v>
      </c>
      <c r="D370" s="9">
        <v>1</v>
      </c>
      <c r="E370" s="8" t="s">
        <v>5</v>
      </c>
    </row>
    <row r="371" spans="1:5" x14ac:dyDescent="0.25">
      <c r="A371" s="8" t="s">
        <v>455</v>
      </c>
      <c r="B371" s="8" t="s">
        <v>27</v>
      </c>
      <c r="C371" s="8" t="s">
        <v>1</v>
      </c>
      <c r="D371" s="9">
        <v>1</v>
      </c>
      <c r="E371" s="8" t="s">
        <v>6</v>
      </c>
    </row>
    <row r="372" spans="1:5" x14ac:dyDescent="0.25">
      <c r="A372" s="6" t="s">
        <v>456</v>
      </c>
      <c r="B372" s="6" t="s">
        <v>457</v>
      </c>
      <c r="C372" s="6" t="s">
        <v>21</v>
      </c>
      <c r="D372" s="7">
        <f>SUM(D373:D375)</f>
        <v>3</v>
      </c>
      <c r="E372" s="6" t="s">
        <v>12</v>
      </c>
    </row>
    <row r="373" spans="1:5" x14ac:dyDescent="0.25">
      <c r="A373" s="8" t="s">
        <v>458</v>
      </c>
      <c r="B373" s="8" t="s">
        <v>23</v>
      </c>
      <c r="C373" s="8" t="s">
        <v>1</v>
      </c>
      <c r="D373" s="9">
        <v>1</v>
      </c>
      <c r="E373" s="8" t="s">
        <v>4</v>
      </c>
    </row>
    <row r="374" spans="1:5" x14ac:dyDescent="0.25">
      <c r="A374" s="8" t="s">
        <v>459</v>
      </c>
      <c r="B374" s="8" t="s">
        <v>25</v>
      </c>
      <c r="C374" s="8" t="s">
        <v>1</v>
      </c>
      <c r="D374" s="9">
        <v>1</v>
      </c>
      <c r="E374" s="8" t="s">
        <v>5</v>
      </c>
    </row>
    <row r="375" spans="1:5" x14ac:dyDescent="0.25">
      <c r="A375" s="8" t="s">
        <v>460</v>
      </c>
      <c r="B375" s="8" t="s">
        <v>27</v>
      </c>
      <c r="C375" s="8" t="s">
        <v>1</v>
      </c>
      <c r="D375" s="9">
        <v>1</v>
      </c>
      <c r="E375" s="8" t="s">
        <v>6</v>
      </c>
    </row>
    <row r="376" spans="1:5" x14ac:dyDescent="0.25">
      <c r="A376" s="6" t="s">
        <v>461</v>
      </c>
      <c r="B376" s="6" t="s">
        <v>462</v>
      </c>
      <c r="C376" s="6" t="s">
        <v>21</v>
      </c>
      <c r="D376" s="7">
        <f>SUM(D377:D379)</f>
        <v>3</v>
      </c>
      <c r="E376" s="6" t="s">
        <v>12</v>
      </c>
    </row>
    <row r="377" spans="1:5" x14ac:dyDescent="0.25">
      <c r="A377" s="8" t="s">
        <v>463</v>
      </c>
      <c r="B377" s="8" t="s">
        <v>23</v>
      </c>
      <c r="C377" s="8" t="s">
        <v>1</v>
      </c>
      <c r="D377" s="9">
        <v>1</v>
      </c>
      <c r="E377" s="8" t="s">
        <v>4</v>
      </c>
    </row>
    <row r="378" spans="1:5" x14ac:dyDescent="0.25">
      <c r="A378" s="8" t="s">
        <v>464</v>
      </c>
      <c r="B378" s="8" t="s">
        <v>25</v>
      </c>
      <c r="C378" s="8" t="s">
        <v>1</v>
      </c>
      <c r="D378" s="9">
        <v>1</v>
      </c>
      <c r="E378" s="8" t="s">
        <v>5</v>
      </c>
    </row>
    <row r="379" spans="1:5" x14ac:dyDescent="0.25">
      <c r="A379" s="8" t="s">
        <v>465</v>
      </c>
      <c r="B379" s="8" t="s">
        <v>27</v>
      </c>
      <c r="C379" s="8" t="s">
        <v>1</v>
      </c>
      <c r="D379" s="9">
        <v>1</v>
      </c>
      <c r="E379" s="8" t="s">
        <v>6</v>
      </c>
    </row>
    <row r="380" spans="1:5" x14ac:dyDescent="0.25">
      <c r="A380" s="6" t="s">
        <v>466</v>
      </c>
      <c r="B380" s="6" t="s">
        <v>467</v>
      </c>
      <c r="C380" s="6" t="s">
        <v>21</v>
      </c>
      <c r="D380" s="7">
        <f>SUM(D381:D383)</f>
        <v>3</v>
      </c>
      <c r="E380" s="6" t="s">
        <v>12</v>
      </c>
    </row>
    <row r="381" spans="1:5" x14ac:dyDescent="0.25">
      <c r="A381" s="8" t="s">
        <v>468</v>
      </c>
      <c r="B381" s="8" t="s">
        <v>23</v>
      </c>
      <c r="C381" s="8" t="s">
        <v>1</v>
      </c>
      <c r="D381" s="9">
        <v>1</v>
      </c>
      <c r="E381" s="8" t="s">
        <v>4</v>
      </c>
    </row>
    <row r="382" spans="1:5" x14ac:dyDescent="0.25">
      <c r="A382" s="8" t="s">
        <v>469</v>
      </c>
      <c r="B382" s="8" t="s">
        <v>25</v>
      </c>
      <c r="C382" s="8" t="s">
        <v>1</v>
      </c>
      <c r="D382" s="9">
        <v>1</v>
      </c>
      <c r="E382" s="8" t="s">
        <v>5</v>
      </c>
    </row>
    <row r="383" spans="1:5" x14ac:dyDescent="0.25">
      <c r="A383" s="8" t="s">
        <v>470</v>
      </c>
      <c r="B383" s="8" t="s">
        <v>27</v>
      </c>
      <c r="C383" s="8" t="s">
        <v>1</v>
      </c>
      <c r="D383" s="9">
        <v>1</v>
      </c>
      <c r="E383" s="8" t="s">
        <v>6</v>
      </c>
    </row>
    <row r="384" spans="1:5" x14ac:dyDescent="0.25">
      <c r="A384" s="6" t="s">
        <v>471</v>
      </c>
      <c r="B384" s="6" t="s">
        <v>472</v>
      </c>
      <c r="C384" s="6" t="s">
        <v>21</v>
      </c>
      <c r="D384" s="7">
        <f>SUM(D385:D387)</f>
        <v>3</v>
      </c>
      <c r="E384" s="6" t="s">
        <v>12</v>
      </c>
    </row>
    <row r="385" spans="1:5" x14ac:dyDescent="0.25">
      <c r="A385" s="8" t="s">
        <v>473</v>
      </c>
      <c r="B385" s="8" t="s">
        <v>23</v>
      </c>
      <c r="C385" s="8" t="s">
        <v>1</v>
      </c>
      <c r="D385" s="9">
        <v>1</v>
      </c>
      <c r="E385" s="8" t="s">
        <v>4</v>
      </c>
    </row>
    <row r="386" spans="1:5" x14ac:dyDescent="0.25">
      <c r="A386" s="8" t="s">
        <v>474</v>
      </c>
      <c r="B386" s="8" t="s">
        <v>25</v>
      </c>
      <c r="C386" s="8" t="s">
        <v>1</v>
      </c>
      <c r="D386" s="9">
        <v>1</v>
      </c>
      <c r="E386" s="8" t="s">
        <v>5</v>
      </c>
    </row>
    <row r="387" spans="1:5" x14ac:dyDescent="0.25">
      <c r="A387" s="8" t="s">
        <v>475</v>
      </c>
      <c r="B387" s="8" t="s">
        <v>27</v>
      </c>
      <c r="C387" s="8" t="s">
        <v>1</v>
      </c>
      <c r="D387" s="9">
        <v>1</v>
      </c>
      <c r="E387" s="8" t="s">
        <v>6</v>
      </c>
    </row>
    <row r="388" spans="1:5" x14ac:dyDescent="0.25">
      <c r="A388" s="6" t="s">
        <v>476</v>
      </c>
      <c r="B388" s="6" t="s">
        <v>477</v>
      </c>
      <c r="C388" s="6" t="s">
        <v>21</v>
      </c>
      <c r="D388" s="7">
        <f>SUM(D389:D391)</f>
        <v>3</v>
      </c>
      <c r="E388" s="6" t="s">
        <v>12</v>
      </c>
    </row>
    <row r="389" spans="1:5" x14ac:dyDescent="0.25">
      <c r="A389" s="8" t="s">
        <v>478</v>
      </c>
      <c r="B389" s="8" t="s">
        <v>23</v>
      </c>
      <c r="C389" s="8" t="s">
        <v>1</v>
      </c>
      <c r="D389" s="9">
        <v>1</v>
      </c>
      <c r="E389" s="8" t="s">
        <v>4</v>
      </c>
    </row>
    <row r="390" spans="1:5" x14ac:dyDescent="0.25">
      <c r="A390" s="8" t="s">
        <v>479</v>
      </c>
      <c r="B390" s="8" t="s">
        <v>25</v>
      </c>
      <c r="C390" s="8" t="s">
        <v>1</v>
      </c>
      <c r="D390" s="9">
        <v>1</v>
      </c>
      <c r="E390" s="8" t="s">
        <v>5</v>
      </c>
    </row>
    <row r="391" spans="1:5" x14ac:dyDescent="0.25">
      <c r="A391" s="8" t="s">
        <v>480</v>
      </c>
      <c r="B391" s="8" t="s">
        <v>27</v>
      </c>
      <c r="C391" s="8" t="s">
        <v>1</v>
      </c>
      <c r="D391" s="9">
        <v>1</v>
      </c>
      <c r="E391" s="8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abSelected="1" zoomScaleNormal="100" workbookViewId="0">
      <selection activeCell="D13" sqref="D13"/>
    </sheetView>
  </sheetViews>
  <sheetFormatPr defaultColWidth="8.7109375" defaultRowHeight="15" x14ac:dyDescent="0.25"/>
  <cols>
    <col min="1" max="1" width="12" customWidth="1"/>
    <col min="2" max="2" width="58" customWidth="1"/>
    <col min="3" max="3" width="16" customWidth="1"/>
    <col min="4" max="4" width="10" customWidth="1"/>
    <col min="6" max="6" width="11.5703125" bestFit="1" customWidth="1"/>
    <col min="7" max="7" width="23" bestFit="1" customWidth="1"/>
    <col min="8" max="8" width="15.42578125" bestFit="1" customWidth="1"/>
  </cols>
  <sheetData>
    <row r="1" spans="1:8" x14ac:dyDescent="0.25">
      <c r="A1" s="10" t="s">
        <v>9</v>
      </c>
      <c r="B1" s="10" t="s">
        <v>10</v>
      </c>
      <c r="C1" s="10" t="s">
        <v>11</v>
      </c>
      <c r="D1" s="10" t="s">
        <v>481</v>
      </c>
    </row>
    <row r="2" spans="1:8" x14ac:dyDescent="0.25">
      <c r="A2" t="s">
        <v>16</v>
      </c>
      <c r="B2" t="s">
        <v>17</v>
      </c>
      <c r="C2">
        <f>WBS!D3</f>
        <v>176</v>
      </c>
      <c r="D2" s="11">
        <f>C2/6</f>
        <v>29.333333333333332</v>
      </c>
      <c r="F2" s="10" t="s">
        <v>2</v>
      </c>
      <c r="G2" s="10" t="s">
        <v>3</v>
      </c>
      <c r="H2" s="10" t="s">
        <v>510</v>
      </c>
    </row>
    <row r="3" spans="1:8" x14ac:dyDescent="0.25">
      <c r="A3" t="s">
        <v>99</v>
      </c>
      <c r="B3" t="s">
        <v>100</v>
      </c>
      <c r="C3">
        <f>WBS!D63</f>
        <v>76</v>
      </c>
      <c r="D3" s="11">
        <f t="shared" ref="D3:D10" si="0">C3/6</f>
        <v>12.666666666666666</v>
      </c>
      <c r="F3" t="s">
        <v>7</v>
      </c>
      <c r="G3">
        <v>248</v>
      </c>
      <c r="H3" s="11">
        <v>35.428571428571431</v>
      </c>
    </row>
    <row r="4" spans="1:8" x14ac:dyDescent="0.25">
      <c r="A4" t="s">
        <v>130</v>
      </c>
      <c r="B4" t="s">
        <v>131</v>
      </c>
      <c r="C4">
        <f>WBS!D88</f>
        <v>155</v>
      </c>
      <c r="D4" s="11">
        <f t="shared" si="0"/>
        <v>25.833333333333332</v>
      </c>
      <c r="F4" t="s">
        <v>4</v>
      </c>
      <c r="G4">
        <v>262</v>
      </c>
      <c r="H4" s="11">
        <v>37.428571428571431</v>
      </c>
    </row>
    <row r="5" spans="1:8" x14ac:dyDescent="0.25">
      <c r="A5" t="s">
        <v>189</v>
      </c>
      <c r="B5" t="s">
        <v>190</v>
      </c>
      <c r="C5">
        <f>WBS!D136</f>
        <v>262</v>
      </c>
      <c r="D5" s="11">
        <f t="shared" si="0"/>
        <v>43.666666666666664</v>
      </c>
      <c r="F5" t="s">
        <v>5</v>
      </c>
      <c r="G5">
        <v>200</v>
      </c>
      <c r="H5" s="11">
        <v>28.571428571428573</v>
      </c>
    </row>
    <row r="6" spans="1:8" x14ac:dyDescent="0.25">
      <c r="A6" t="s">
        <v>285</v>
      </c>
      <c r="B6" t="s">
        <v>286</v>
      </c>
      <c r="C6">
        <f>WBS!D215</f>
        <v>122</v>
      </c>
      <c r="D6" s="11">
        <f t="shared" si="0"/>
        <v>20.333333333333332</v>
      </c>
      <c r="F6" t="s">
        <v>6</v>
      </c>
      <c r="G6">
        <v>268</v>
      </c>
      <c r="H6" s="11">
        <v>38.285714285714285</v>
      </c>
    </row>
    <row r="7" spans="1:8" x14ac:dyDescent="0.25">
      <c r="A7" t="s">
        <v>379</v>
      </c>
      <c r="B7" t="s">
        <v>380</v>
      </c>
      <c r="C7">
        <f>WBS!D254</f>
        <v>82</v>
      </c>
      <c r="D7" s="11">
        <f t="shared" si="0"/>
        <v>13.666666666666666</v>
      </c>
      <c r="F7" t="s">
        <v>509</v>
      </c>
      <c r="G7">
        <v>67</v>
      </c>
      <c r="H7" s="11">
        <v>9.5714285714285712</v>
      </c>
    </row>
    <row r="8" spans="1:8" x14ac:dyDescent="0.25">
      <c r="A8" t="s">
        <v>387</v>
      </c>
      <c r="B8" t="s">
        <v>388</v>
      </c>
      <c r="C8">
        <f>WBS!D284</f>
        <v>124</v>
      </c>
      <c r="D8" s="11">
        <f t="shared" si="0"/>
        <v>20.666666666666668</v>
      </c>
      <c r="F8" s="16" t="s">
        <v>8</v>
      </c>
      <c r="G8" s="16">
        <v>1045</v>
      </c>
      <c r="H8" s="16">
        <v>38.285714285714285</v>
      </c>
    </row>
    <row r="9" spans="1:8" x14ac:dyDescent="0.25">
      <c r="A9" t="s">
        <v>399</v>
      </c>
      <c r="B9" t="s">
        <v>400</v>
      </c>
      <c r="C9">
        <f>WBS!D327</f>
        <v>48</v>
      </c>
      <c r="D9" s="11">
        <f t="shared" si="0"/>
        <v>8</v>
      </c>
    </row>
    <row r="10" spans="1:8" x14ac:dyDescent="0.25">
      <c r="B10" s="16" t="s">
        <v>482</v>
      </c>
      <c r="C10" s="16">
        <f>SUM(C2:C9)</f>
        <v>1045</v>
      </c>
      <c r="D10" s="16">
        <f t="shared" si="0"/>
        <v>174.16666666666666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WBS</vt:lpstr>
      <vt:lpstr>Epic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Parth Jani</cp:lastModifiedBy>
  <cp:revision>0</cp:revision>
  <dcterms:created xsi:type="dcterms:W3CDTF">2026-07-03T10:04:17Z</dcterms:created>
  <dcterms:modified xsi:type="dcterms:W3CDTF">2026-07-06T04:53:02Z</dcterms:modified>
  <dc:language>en-US</dc:language>
</cp:coreProperties>
</file>
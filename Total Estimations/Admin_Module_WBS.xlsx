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92.168.1.254\smart solution\Documents\HiMapp\Total Estimations\"/>
    </mc:Choice>
  </mc:AlternateContent>
  <xr:revisionPtr revIDLastSave="0" documentId="13_ncr:1_{3E6F34BB-3689-4237-B19C-13CB91FC3B66}" xr6:coauthVersionLast="47" xr6:coauthVersionMax="47" xr10:uidLastSave="{00000000-0000-0000-0000-000000000000}"/>
  <bookViews>
    <workbookView xWindow="-120" yWindow="-120" windowWidth="20730" windowHeight="11040" tabRatio="500" activeTab="2" xr2:uid="{00000000-000D-0000-FFFF-FFFF00000000}"/>
  </bookViews>
  <sheets>
    <sheet name="Sheet2" sheetId="4" r:id="rId1"/>
    <sheet name="WBS" sheetId="1" r:id="rId2"/>
    <sheet name="Epic Timeline" sheetId="2" r:id="rId3"/>
  </sheets>
  <definedNames>
    <definedName name="_xlnm._FilterDatabase" localSheetId="1" hidden="1">WBS!$A$1:$E$211</definedName>
  </definedNames>
  <calcPr calcId="191029"/>
  <pivotCaches>
    <pivotCache cacheId="0" r:id="rId4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8" i="2" l="1"/>
  <c r="J5" i="2"/>
  <c r="J6" i="2"/>
  <c r="J7" i="2"/>
  <c r="J4" i="2"/>
  <c r="D147" i="1"/>
  <c r="D63" i="1"/>
  <c r="D4" i="1"/>
  <c r="D19" i="1"/>
  <c r="D14" i="1"/>
  <c r="D9" i="1"/>
  <c r="D209" i="1" l="1"/>
  <c r="D206" i="1"/>
  <c r="D202" i="1"/>
  <c r="D197" i="1"/>
  <c r="D194" i="1"/>
  <c r="D193" i="1" s="1"/>
  <c r="D189" i="1"/>
  <c r="D185" i="1"/>
  <c r="D181" i="1"/>
  <c r="D176" i="1"/>
  <c r="D171" i="1"/>
  <c r="D167" i="1"/>
  <c r="D163" i="1"/>
  <c r="D159" i="1"/>
  <c r="D154" i="1"/>
  <c r="D144" i="1"/>
  <c r="D141" i="1"/>
  <c r="D138" i="1"/>
  <c r="D134" i="1"/>
  <c r="D129" i="1"/>
  <c r="D125" i="1"/>
  <c r="D121" i="1"/>
  <c r="D116" i="1"/>
  <c r="D111" i="1"/>
  <c r="D107" i="1"/>
  <c r="D103" i="1"/>
  <c r="D99" i="1"/>
  <c r="D94" i="1"/>
  <c r="D89" i="1"/>
  <c r="D85" i="1"/>
  <c r="D81" i="1"/>
  <c r="D76" i="1"/>
  <c r="D71" i="1"/>
  <c r="D67" i="1"/>
  <c r="D59" i="1"/>
  <c r="D54" i="1"/>
  <c r="D50" i="1"/>
  <c r="D46" i="1"/>
  <c r="D42" i="1"/>
  <c r="D38" i="1"/>
  <c r="D34" i="1"/>
  <c r="D30" i="1"/>
  <c r="D25" i="1"/>
  <c r="D3" i="1" l="1"/>
  <c r="D175" i="1"/>
  <c r="C11" i="2" s="1"/>
  <c r="D11" i="2" s="1"/>
  <c r="D93" i="1"/>
  <c r="C7" i="2" s="1"/>
  <c r="D7" i="2" s="1"/>
  <c r="C12" i="2"/>
  <c r="D12" i="2" s="1"/>
  <c r="D75" i="1"/>
  <c r="C6" i="2" s="1"/>
  <c r="D6" i="2" s="1"/>
  <c r="D58" i="1"/>
  <c r="C5" i="2" s="1"/>
  <c r="D5" i="2" s="1"/>
  <c r="D153" i="1"/>
  <c r="C10" i="2" s="1"/>
  <c r="D10" i="2" s="1"/>
  <c r="D24" i="1"/>
  <c r="C4" i="2" s="1"/>
  <c r="D4" i="2" s="1"/>
  <c r="D133" i="1"/>
  <c r="C9" i="2" s="1"/>
  <c r="D9" i="2" s="1"/>
  <c r="D115" i="1"/>
  <c r="C8" i="2" s="1"/>
  <c r="D8" i="2" s="1"/>
  <c r="D196" i="1"/>
  <c r="C13" i="2" s="1"/>
  <c r="D13" i="2" s="1"/>
  <c r="D2" i="1" l="1"/>
  <c r="C3" i="2"/>
  <c r="D3" i="2" s="1"/>
  <c r="C14" i="2" l="1"/>
  <c r="D14" i="2" s="1"/>
</calcChain>
</file>

<file path=xl/sharedStrings.xml><?xml version="1.0" encoding="utf-8"?>
<sst xmlns="http://schemas.openxmlformats.org/spreadsheetml/2006/main" count="878" uniqueCount="301">
  <si>
    <t>WBS ID</t>
  </si>
  <si>
    <t>Task Name</t>
  </si>
  <si>
    <t>Type</t>
  </si>
  <si>
    <t>Estimated Hours</t>
  </si>
  <si>
    <t>Developer</t>
  </si>
  <si>
    <t>1</t>
  </si>
  <si>
    <t>HIMAPP 2.0 — Admin Module Implementation</t>
  </si>
  <si>
    <t>Project</t>
  </si>
  <si>
    <t>1.1</t>
  </si>
  <si>
    <t xml:space="preserve">    Epic 1: Dashboard &amp; KPIs</t>
  </si>
  <si>
    <t>Epic</t>
  </si>
  <si>
    <t>1.1.1</t>
  </si>
  <si>
    <t xml:space="preserve">        US-01: Admin Views Real-Time Project Dashboard</t>
  </si>
  <si>
    <t>User Story</t>
  </si>
  <si>
    <t>1.1.1.1</t>
  </si>
  <si>
    <t xml:space="preserve">            Database</t>
  </si>
  <si>
    <t>Task</t>
  </si>
  <si>
    <t>Ronak</t>
  </si>
  <si>
    <t>1.1.1.2</t>
  </si>
  <si>
    <t xml:space="preserve">            Backend API</t>
  </si>
  <si>
    <t>1.1.1.3</t>
  </si>
  <si>
    <t xml:space="preserve">            Web Front End</t>
  </si>
  <si>
    <t>1.1.1.4</t>
  </si>
  <si>
    <t xml:space="preserve">            Mobile</t>
  </si>
  <si>
    <t>Hardik</t>
  </si>
  <si>
    <t>1.1.2</t>
  </si>
  <si>
    <t xml:space="preserve">        US-02: Ready-to-Issue Banner Highlights Cleared Workers</t>
  </si>
  <si>
    <t>1.1.2.1</t>
  </si>
  <si>
    <t>1.1.2.2</t>
  </si>
  <si>
    <t>1.1.2.3</t>
  </si>
  <si>
    <t>1.1.3</t>
  </si>
  <si>
    <t xml:space="preserve">        US-03: Recently Registered Labour List with Quick Actions</t>
  </si>
  <si>
    <t>1.1.3.1</t>
  </si>
  <si>
    <t>1.1.3.2</t>
  </si>
  <si>
    <t>1.1.3.3</t>
  </si>
  <si>
    <t>1.1.4</t>
  </si>
  <si>
    <t xml:space="preserve">        US-04: Expiring Gatepasses Widget with Renew Shortcut</t>
  </si>
  <si>
    <t>1.1.4.1</t>
  </si>
  <si>
    <t>1.1.4.2</t>
  </si>
  <si>
    <t>1.1.4.3</t>
  </si>
  <si>
    <t>1.2</t>
  </si>
  <si>
    <t xml:space="preserve">    Epic 2: Labour Registration</t>
  </si>
  <si>
    <t>1.2.1</t>
  </si>
  <si>
    <t xml:space="preserve">        US-05: Admin Registers New Labour via Four-Section Form</t>
  </si>
  <si>
    <t>1.2.1.1</t>
  </si>
  <si>
    <t>1.2.1.2</t>
  </si>
  <si>
    <t>1.2.1.3</t>
  </si>
  <si>
    <t>1.2.1.4</t>
  </si>
  <si>
    <t>1.2.2</t>
  </si>
  <si>
    <t xml:space="preserve">        US-06: Auto-Fill Contractor Contact Number on Selection</t>
  </si>
  <si>
    <t>1.2.2.1</t>
  </si>
  <si>
    <t>1.2.2.2</t>
  </si>
  <si>
    <t>1.2.2.3</t>
  </si>
  <si>
    <t>1.2.3</t>
  </si>
  <si>
    <t xml:space="preserve">        US-07: System Validates Minimum Age of 18 Years at Registration</t>
  </si>
  <si>
    <t>1.2.3.1</t>
  </si>
  <si>
    <t>1.2.3.2</t>
  </si>
  <si>
    <t>1.2.3.3</t>
  </si>
  <si>
    <t>1.2.4</t>
  </si>
  <si>
    <t xml:space="preserve">        US-08: System Enforces Aadhaar Mandatory Format and Masking</t>
  </si>
  <si>
    <t>1.2.4.1</t>
  </si>
  <si>
    <t>1.2.4.2</t>
  </si>
  <si>
    <t>1.2.4.3</t>
  </si>
  <si>
    <t>1.2.5</t>
  </si>
  <si>
    <t xml:space="preserve">        US-09: System Validates PAN Format When Provided</t>
  </si>
  <si>
    <t>1.2.5.1</t>
  </si>
  <si>
    <t>1.2.5.2</t>
  </si>
  <si>
    <t>1.2.5.3</t>
  </si>
  <si>
    <t>1.2.6</t>
  </si>
  <si>
    <t xml:space="preserve">        US-10: System Enforces Mandatory Labour Photo Before Save</t>
  </si>
  <si>
    <t>1.2.6.1</t>
  </si>
  <si>
    <t>1.2.6.2</t>
  </si>
  <si>
    <t>1.2.6.3</t>
  </si>
  <si>
    <t>1.2.7</t>
  </si>
  <si>
    <t xml:space="preserve">        US-11: System Validates Vaccine Date Sequencing</t>
  </si>
  <si>
    <t>1.2.7.1</t>
  </si>
  <si>
    <t>1.2.7.2</t>
  </si>
  <si>
    <t>1.2.7.3</t>
  </si>
  <si>
    <t>1.2.8</t>
  </si>
  <si>
    <t xml:space="preserve">        US-12: Admin Views Success Summary and Auto-Notifies Safety Officer</t>
  </si>
  <si>
    <t>1.2.8.1</t>
  </si>
  <si>
    <t>1.2.8.2</t>
  </si>
  <si>
    <t>1.2.8.3</t>
  </si>
  <si>
    <t>1.3</t>
  </si>
  <si>
    <t xml:space="preserve">    Epic 3: Multi-Project Reuse &amp; Duplicate Prevention</t>
  </si>
  <si>
    <t>1.3.1</t>
  </si>
  <si>
    <t xml:space="preserve">        US-13: System Detects Cross-Project Aadhaar Match and Prompts Reuse</t>
  </si>
  <si>
    <t>1.3.1.2</t>
  </si>
  <si>
    <t>1.3.1.3</t>
  </si>
  <si>
    <t>1.3.1.4</t>
  </si>
  <si>
    <t>1.3.2</t>
  </si>
  <si>
    <t xml:space="preserve">        US-14: Admin Reuses Existing Record with One Click</t>
  </si>
  <si>
    <t>1.3.2.2</t>
  </si>
  <si>
    <t>1.3.2.3</t>
  </si>
  <si>
    <t>1.3.3</t>
  </si>
  <si>
    <t xml:space="preserve">        US-15: Admin Creates a New Record Despite a Cross-Project Match</t>
  </si>
  <si>
    <t>1.3.3.1</t>
  </si>
  <si>
    <t>1.3.3.2</t>
  </si>
  <si>
    <t>1.3.3.3</t>
  </si>
  <si>
    <t>1.3.4</t>
  </si>
  <si>
    <t xml:space="preserve">        US-16: System Hard-Blocks Duplicate Aadhaar on the Same Project</t>
  </si>
  <si>
    <t>1.3.4.1</t>
  </si>
  <si>
    <t>1.3.4.2</t>
  </si>
  <si>
    <t>1.3.4.3</t>
  </si>
  <si>
    <t>1.4</t>
  </si>
  <si>
    <t xml:space="preserve">    Epic 4: Labour List, Search &amp; Export</t>
  </si>
  <si>
    <t>1.4.1</t>
  </si>
  <si>
    <t xml:space="preserve">        US-17: Admin Searches and Filters the Labour List</t>
  </si>
  <si>
    <t>1.4.1.1</t>
  </si>
  <si>
    <t>1.4.1.2</t>
  </si>
  <si>
    <t>1.4.1.3</t>
  </si>
  <si>
    <t>1.4.1.4</t>
  </si>
  <si>
    <t>1.4.2</t>
  </si>
  <si>
    <t xml:space="preserve">        US-18: Admin Exports Filtered Labour List to Excel</t>
  </si>
  <si>
    <t>1.4.2.1</t>
  </si>
  <si>
    <t>1.4.2.2</t>
  </si>
  <si>
    <t>1.4.2.3</t>
  </si>
  <si>
    <t>1.4.3</t>
  </si>
  <si>
    <t xml:space="preserve">        US-19: Admin Issues Gatepass Directly from Labour List</t>
  </si>
  <si>
    <t>1.4.3.1</t>
  </si>
  <si>
    <t>1.4.3.2</t>
  </si>
  <si>
    <t>1.4.3.3</t>
  </si>
  <si>
    <t>1.4.4</t>
  </si>
  <si>
    <t xml:space="preserve">        US-20: Admin Views Paginated Labour List with Total Count</t>
  </si>
  <si>
    <t>1.4.4.1</t>
  </si>
  <si>
    <t>1.4.4.2</t>
  </si>
  <si>
    <t>1.4.4.3</t>
  </si>
  <si>
    <t>1.5</t>
  </si>
  <si>
    <t xml:space="preserve">    Epic 5: Gatepass Issuance</t>
  </si>
  <si>
    <t>1.5.1</t>
  </si>
  <si>
    <t xml:space="preserve">        US-21: Admin Issues Gatepass Gated on Safety Clearance</t>
  </si>
  <si>
    <t>1.5.1.1</t>
  </si>
  <si>
    <t>1.5.1.2</t>
  </si>
  <si>
    <t>1.5.1.3</t>
  </si>
  <si>
    <t>1.5.1.4</t>
  </si>
  <si>
    <t>1.5.2</t>
  </si>
  <si>
    <t xml:space="preserve">        US-22: System Validates Gatepass Validity Dates on Issuance</t>
  </si>
  <si>
    <t>1.5.2.1</t>
  </si>
  <si>
    <t>1.5.2.2</t>
  </si>
  <si>
    <t>1.5.2.3</t>
  </si>
  <si>
    <t>1.5.3</t>
  </si>
  <si>
    <t xml:space="preserve">        US-23: System Generates Unique Gatepass Number on Issuance</t>
  </si>
  <si>
    <t>1.5.3.1</t>
  </si>
  <si>
    <t>1.5.3.2</t>
  </si>
  <si>
    <t>1.5.3.3</t>
  </si>
  <si>
    <t>1.5.4</t>
  </si>
  <si>
    <t xml:space="preserve">        US-24: Admin Views and Filters Gatepass Management List</t>
  </si>
  <si>
    <t>1.5.4.1</t>
  </si>
  <si>
    <t>1.5.4.2</t>
  </si>
  <si>
    <t>1.5.4.3</t>
  </si>
  <si>
    <t>1.5.5</t>
  </si>
  <si>
    <t xml:space="preserve">        US-25: Admin Views Cleared Count Summary on Gatepass Screen</t>
  </si>
  <si>
    <t>1.5.5.1</t>
  </si>
  <si>
    <t>1.5.5.2</t>
  </si>
  <si>
    <t>1.5.5.3</t>
  </si>
  <si>
    <t>1.6</t>
  </si>
  <si>
    <t xml:space="preserve">    Epic 6: Gatepass Renewal &amp; Revocation</t>
  </si>
  <si>
    <t>1.6.1</t>
  </si>
  <si>
    <t xml:space="preserve">        US-26: Admin Renews an Expired Gatepass</t>
  </si>
  <si>
    <t>1.6.1.1</t>
  </si>
  <si>
    <t>1.6.1.2</t>
  </si>
  <si>
    <t>1.6.1.3</t>
  </si>
  <si>
    <t>1.6.1.4</t>
  </si>
  <si>
    <t>1.6.2</t>
  </si>
  <si>
    <t xml:space="preserve">        US-27: System Requires Mandatory Reason for Gatepass Revocation</t>
  </si>
  <si>
    <t>1.6.2.1</t>
  </si>
  <si>
    <t>1.6.2.2</t>
  </si>
  <si>
    <t>1.6.2.3</t>
  </si>
  <si>
    <t>1.6.3</t>
  </si>
  <si>
    <t xml:space="preserve">        US-28: System Displays Irreversibility Warning Before Confirming Revocation</t>
  </si>
  <si>
    <t>1.6.3.1</t>
  </si>
  <si>
    <t>1.6.3.2</t>
  </si>
  <si>
    <t>1.6.3.3</t>
  </si>
  <si>
    <t>1.6.4</t>
  </si>
  <si>
    <t xml:space="preserve">        US-29: System Enforces Irreversible Status Change on Revocation</t>
  </si>
  <si>
    <t>1.6.4.1</t>
  </si>
  <si>
    <t>1.6.4.2</t>
  </si>
  <si>
    <t>1.6.4.3</t>
  </si>
  <si>
    <t>1.7</t>
  </si>
  <si>
    <t xml:space="preserve">    Epic 7: Bulk Print &amp; Printable Gatepass Slip</t>
  </si>
  <si>
    <t>1.7.1</t>
  </si>
  <si>
    <t xml:space="preserve">        US-30: Admin Selects Multiple Active Gatepasses for Bulk Print</t>
  </si>
  <si>
    <t>1.7.1.1</t>
  </si>
  <si>
    <t>1.7.1.2</t>
  </si>
  <si>
    <t>1.7.1.3</t>
  </si>
  <si>
    <t>1.7.2</t>
  </si>
  <si>
    <t xml:space="preserve">        US-31: Admin Confirms Bulk Print with Previous Print Count Visibility</t>
  </si>
  <si>
    <t>1.7.2.1</t>
  </si>
  <si>
    <t>1.7.2.2</t>
  </si>
  <si>
    <t>1.7.3</t>
  </si>
  <si>
    <t xml:space="preserve">        US-32: System Increments and Logs Print Count on Every Print Action</t>
  </si>
  <si>
    <t>1.7.3.1</t>
  </si>
  <si>
    <t>1.7.3.2</t>
  </si>
  <si>
    <t>1.7.4</t>
  </si>
  <si>
    <t xml:space="preserve">        US-33: Admin Generates A5 Printable Gatepass Slip</t>
  </si>
  <si>
    <t>1.7.4.1</t>
  </si>
  <si>
    <t>1.7.4.2</t>
  </si>
  <si>
    <t>1.7.5</t>
  </si>
  <si>
    <t xml:space="preserve">        US-34: Admin Generates ID-Card (CR80) Printable Gatepass</t>
  </si>
  <si>
    <t>1.7.5.1</t>
  </si>
  <si>
    <t>1.7.5.2</t>
  </si>
  <si>
    <t>1.7.6</t>
  </si>
  <si>
    <t xml:space="preserve">        US-35: System Renders Revoked Watermark and Warns Before Printing a Revoked Pass</t>
  </si>
  <si>
    <t>1.7.6.1</t>
  </si>
  <si>
    <t>1.7.6.2</t>
  </si>
  <si>
    <t>1.8</t>
  </si>
  <si>
    <t xml:space="preserve">    Epic 8: Colony Assignment</t>
  </si>
  <si>
    <t>1.8.1</t>
  </si>
  <si>
    <t xml:space="preserve">        US-36: Admin Views Block-Wise Room Occupancy</t>
  </si>
  <si>
    <t>1.8.1.1</t>
  </si>
  <si>
    <t>1.8.1.2</t>
  </si>
  <si>
    <t>1.8.1.3</t>
  </si>
  <si>
    <t>1.8.1.4</t>
  </si>
  <si>
    <t>1.8.2</t>
  </si>
  <si>
    <t xml:space="preserve">        US-37: Admin Creates a New Colony Assignment with Capacity Visibility</t>
  </si>
  <si>
    <t>1.8.2.1</t>
  </si>
  <si>
    <t>1.8.2.2</t>
  </si>
  <si>
    <t>1.8.2.3</t>
  </si>
  <si>
    <t>1.8.3</t>
  </si>
  <si>
    <t xml:space="preserve">        US-38: System Blocks Assignment Beyond Room Capacity</t>
  </si>
  <si>
    <t>1.8.3.1</t>
  </si>
  <si>
    <t>1.8.3.2</t>
  </si>
  <si>
    <t>1.8.3.3</t>
  </si>
  <si>
    <t>1.8.4</t>
  </si>
  <si>
    <t xml:space="preserve">        US-39: Admin Reassigns a Worker to a Different Room</t>
  </si>
  <si>
    <t>1.8.4.1</t>
  </si>
  <si>
    <t>1.8.4.2</t>
  </si>
  <si>
    <t>1.8.4.3</t>
  </si>
  <si>
    <t>1.8.5</t>
  </si>
  <si>
    <t xml:space="preserve">        US-40: Admin Vacates a Colony Assignment</t>
  </si>
  <si>
    <t>1.8.5.1</t>
  </si>
  <si>
    <t>1.8.5.2</t>
  </si>
  <si>
    <t>1.8.5.3</t>
  </si>
  <si>
    <t>1.9</t>
  </si>
  <si>
    <t xml:space="preserve">    Epic 9: Notifications &amp; Alerts</t>
  </si>
  <si>
    <t>1.9.1</t>
  </si>
  <si>
    <t xml:space="preserve">        US-41: System Sends In-App Toast on Successful Labour Registration</t>
  </si>
  <si>
    <t>1.9.1.1</t>
  </si>
  <si>
    <t>1.9.1.2</t>
  </si>
  <si>
    <t>1.9.1.3</t>
  </si>
  <si>
    <t>1.9.1.4</t>
  </si>
  <si>
    <t>1.9.2</t>
  </si>
  <si>
    <t xml:space="preserve">        US-42: System Notifies Admin Team on Safety Clearance Confirmation</t>
  </si>
  <si>
    <t>1.9.2.1</t>
  </si>
  <si>
    <t>1.9.2.2</t>
  </si>
  <si>
    <t>1.9.2.3</t>
  </si>
  <si>
    <t>1.9.3</t>
  </si>
  <si>
    <t>1.9.3.1</t>
  </si>
  <si>
    <t>1.9.3.2</t>
  </si>
  <si>
    <t>1.9.3.3</t>
  </si>
  <si>
    <t>1.9.4</t>
  </si>
  <si>
    <t xml:space="preserve">        US-44: System Displays Inline Warning on Room Capacity Conflict</t>
  </si>
  <si>
    <t>1.9.4.1</t>
  </si>
  <si>
    <t>1.9.4.2</t>
  </si>
  <si>
    <t>1.9.4.3</t>
  </si>
  <si>
    <t>1.10</t>
  </si>
  <si>
    <t xml:space="preserve">    Epic 10: Mobile Experience</t>
  </si>
  <si>
    <t>1.10.2</t>
  </si>
  <si>
    <t xml:space="preserve">        US-46: Admin Captures Photo and Documents via Device Camera</t>
  </si>
  <si>
    <t>1.10.2.3</t>
  </si>
  <si>
    <t>1.11</t>
  </si>
  <si>
    <t xml:space="preserve">    Epic 11: Integrations, Reporting &amp; NFRs</t>
  </si>
  <si>
    <t>1.11.1</t>
  </si>
  <si>
    <t xml:space="preserve">        US-49: System Consumes Safety Clearance Flag Read-Only from Safety Module</t>
  </si>
  <si>
    <t>1.11.1.1</t>
  </si>
  <si>
    <t>1.11.1.2</t>
  </si>
  <si>
    <t>1.11.1.3</t>
  </si>
  <si>
    <t>1.11.1.4</t>
  </si>
  <si>
    <t>1.11.2</t>
  </si>
  <si>
    <t xml:space="preserve">        US-50: System Consumes ERP Master Data as Read-Only Dropdowns</t>
  </si>
  <si>
    <t>1.11.2.1</t>
  </si>
  <si>
    <t>1.11.2.2</t>
  </si>
  <si>
    <t>1.11.2.3</t>
  </si>
  <si>
    <t>1.11.3</t>
  </si>
  <si>
    <t xml:space="preserve">        US-51: System Maintains a Complete Audit Trail for All Transactions</t>
  </si>
  <si>
    <t>1.11.3.1</t>
  </si>
  <si>
    <t>1.11.3.2</t>
  </si>
  <si>
    <t>1.11.4</t>
  </si>
  <si>
    <t xml:space="preserve">        US-52: Admin Generates Statutory Compliance Export</t>
  </si>
  <si>
    <t>1.11.4.1</t>
  </si>
  <si>
    <t>1.11.4.2</t>
  </si>
  <si>
    <t>HIMAPP 2.0 ADMIN MODULE — EPIC-LEVEL TIMELINE</t>
  </si>
  <si>
    <t>Days</t>
  </si>
  <si>
    <t>Epic 1: Dashboard &amp; KPIs</t>
  </si>
  <si>
    <t>Epic 2: Labour Registration</t>
  </si>
  <si>
    <t>Epic 3: Multi-Project Reuse &amp; Duplicate Prevention</t>
  </si>
  <si>
    <t>Epic 4: Labour List, Search &amp; Export</t>
  </si>
  <si>
    <t>Epic 5: Gatepass Issuance</t>
  </si>
  <si>
    <t>Epic 6: Gatepass Renewal &amp; Revocation</t>
  </si>
  <si>
    <t>Epic 7: Bulk Print &amp; Printable Gatepass Slip</t>
  </si>
  <si>
    <t>Epic 8: Colony Assignment</t>
  </si>
  <si>
    <t>Epic 9: Notifications &amp; Alerts</t>
  </si>
  <si>
    <t>Epic 10: Mobile Experience</t>
  </si>
  <si>
    <t>Epic 11: Integrations, Reporting &amp; NFRs</t>
  </si>
  <si>
    <t>PROJECT TOTAL</t>
  </si>
  <si>
    <t>Soumy Oza</t>
  </si>
  <si>
    <t>Row Labels</t>
  </si>
  <si>
    <t>Grand Total</t>
  </si>
  <si>
    <t>Sum of Estimated Hours</t>
  </si>
  <si>
    <t>Parth Jani</t>
  </si>
  <si>
    <t xml:space="preserve">        US-43: System Sends Expiry Alerts via Push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</si>
</sst>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color rgb="FF1A1A1A"/>
      <name val="Arial"/>
      <charset val="1"/>
    </font>
    <font>
      <sz val="10"/>
      <color rgb="FF1A1A1A"/>
      <name val="Arial"/>
      <charset val="1"/>
    </font>
    <font>
      <b/>
      <sz val="10"/>
      <color rgb="FF6A1B9A"/>
      <name val="Arial"/>
      <charset val="1"/>
    </font>
    <font>
      <b/>
      <sz val="10"/>
      <color rgb="FF1565C0"/>
      <name val="Arial"/>
      <charset val="1"/>
    </font>
    <font>
      <b/>
      <sz val="10"/>
      <color rgb="FF00838F"/>
      <name val="Arial"/>
      <charset val="1"/>
    </font>
    <font>
      <b/>
      <sz val="10"/>
      <color rgb="FF2E7D32"/>
      <name val="Arial"/>
      <charset val="1"/>
    </font>
    <font>
      <b/>
      <sz val="13"/>
      <color rgb="FFFFFFFF"/>
      <name val="Arial"/>
      <charset val="1"/>
    </font>
    <font>
      <b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E3A5F"/>
        <bgColor rgb="FF333399"/>
      </patternFill>
    </fill>
    <fill>
      <patternFill patternType="solid">
        <fgColor rgb="FF1565C0"/>
        <bgColor rgb="FF3366FF"/>
      </patternFill>
    </fill>
    <fill>
      <patternFill patternType="solid">
        <fgColor rgb="FFDCE8F5"/>
        <bgColor rgb="FFD9D9D9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9" fillId="5" borderId="2" xfId="0" applyFont="1" applyFill="1" applyBorder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2" xfId="0" applyBorder="1"/>
    <xf numFmtId="1" fontId="0" fillId="0" borderId="2" xfId="0" applyNumberFormat="1" applyBorder="1"/>
    <xf numFmtId="0" fontId="9" fillId="5" borderId="2" xfId="0" applyFont="1" applyFill="1" applyBorder="1" applyAlignment="1">
      <alignment horizontal="left"/>
    </xf>
    <xf numFmtId="0" fontId="8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38F"/>
      <rgbColor rgb="FFC0C0C0"/>
      <rgbColor rgb="FF808080"/>
      <rgbColor rgb="FF9999FF"/>
      <rgbColor rgb="FF993366"/>
      <rgbColor rgb="FFFFFFCC"/>
      <rgbColor rgb="FFDCE8F5"/>
      <rgbColor rgb="FF660066"/>
      <rgbColor rgb="FFFF8080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2E7D32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 Jani" refreshedDate="46206.843280671295" createdVersion="8" refreshedVersion="8" minRefreshableVersion="3" recordCount="210" xr:uid="{C828E03A-0E8B-4688-B337-E9BFECF19098}">
  <cacheSource type="worksheet">
    <worksheetSource ref="A1:E211" sheet="WBS"/>
  </cacheSource>
  <cacheFields count="6">
    <cacheField name="WBS ID" numFmtId="0">
      <sharedItems/>
    </cacheField>
    <cacheField name="Task Name" numFmtId="0">
      <sharedItems/>
    </cacheField>
    <cacheField name="Type" numFmtId="0">
      <sharedItems count="4">
        <s v="Project"/>
        <s v="Epic"/>
        <s v="User Story"/>
        <s v="Task"/>
      </sharedItems>
    </cacheField>
    <cacheField name="Estimated Hours" numFmtId="0">
      <sharedItems containsSemiMixedTypes="0" containsString="0" containsNumber="1" containsInteger="1" minValue="0" maxValue="400"/>
    </cacheField>
    <cacheField name="Predecessor" numFmtId="0">
      <sharedItems containsBlank="1"/>
    </cacheField>
    <cacheField name="Developer" numFmtId="0">
      <sharedItems containsBlank="1" count="6">
        <m/>
        <s v="Developer"/>
        <s v="Parth Jani"/>
        <s v="Hardik"/>
        <s v="Ronak"/>
        <s v="Soumy Oz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1"/>
    <s v="HIMAPP 2.0 — Admin Module Implementation"/>
    <x v="0"/>
    <n v="400"/>
    <m/>
    <x v="0"/>
  </r>
  <r>
    <s v="1.1"/>
    <s v="    Epic 1: Dashboard &amp; KPIs"/>
    <x v="1"/>
    <n v="48"/>
    <m/>
    <x v="0"/>
  </r>
  <r>
    <s v="1.1.1"/>
    <s v="        US-01: Admin Views Real-Time Project Dashboard"/>
    <x v="2"/>
    <n v="12"/>
    <s v="1.1"/>
    <x v="1"/>
  </r>
  <r>
    <s v="1.1.1.1"/>
    <s v="            Database"/>
    <x v="3"/>
    <n v="2"/>
    <s v="1.1.1"/>
    <x v="2"/>
  </r>
  <r>
    <s v="1.1.1.2"/>
    <s v="            Backend API"/>
    <x v="3"/>
    <n v="3"/>
    <s v="1.1.1.1"/>
    <x v="2"/>
  </r>
  <r>
    <s v="1.1.1.3"/>
    <s v="            Web Front End"/>
    <x v="3"/>
    <n v="3"/>
    <s v="1.1.1.2"/>
    <x v="2"/>
  </r>
  <r>
    <s v="1.1.1.4"/>
    <s v="            Mobile"/>
    <x v="3"/>
    <n v="4"/>
    <s v="1.1.1.3"/>
    <x v="3"/>
  </r>
  <r>
    <s v="1.1.2"/>
    <s v="        US-02: Ready-to-Issue Banner Highlights Cleared Workers"/>
    <x v="2"/>
    <n v="12"/>
    <s v="1.1.1"/>
    <x v="1"/>
  </r>
  <r>
    <s v="1.1.1.1"/>
    <s v="            Database"/>
    <x v="3"/>
    <n v="2"/>
    <s v="1.1.1"/>
    <x v="2"/>
  </r>
  <r>
    <s v="1.1.2.1"/>
    <s v="            Backend API"/>
    <x v="3"/>
    <n v="3"/>
    <s v="1.1.2"/>
    <x v="2"/>
  </r>
  <r>
    <s v="1.1.2.2"/>
    <s v="            Web Front End"/>
    <x v="3"/>
    <n v="3"/>
    <s v="1.1.2.1"/>
    <x v="2"/>
  </r>
  <r>
    <s v="1.1.2.3"/>
    <s v="            Mobile"/>
    <x v="3"/>
    <n v="4"/>
    <s v="1.1.2.2"/>
    <x v="3"/>
  </r>
  <r>
    <s v="1.1.3"/>
    <s v="        US-03: Recently Registered Labour List with Quick Actions"/>
    <x v="2"/>
    <n v="12"/>
    <s v="1.1.2"/>
    <x v="1"/>
  </r>
  <r>
    <s v="1.1.1.1"/>
    <s v="            Database"/>
    <x v="3"/>
    <n v="2"/>
    <s v="1.1.1"/>
    <x v="2"/>
  </r>
  <r>
    <s v="1.1.3.1"/>
    <s v="            Backend API"/>
    <x v="3"/>
    <n v="3"/>
    <s v="1.1.3"/>
    <x v="2"/>
  </r>
  <r>
    <s v="1.1.3.2"/>
    <s v="            Web Front End"/>
    <x v="3"/>
    <n v="3"/>
    <s v="1.1.3.1"/>
    <x v="2"/>
  </r>
  <r>
    <s v="1.1.3.3"/>
    <s v="            Mobile"/>
    <x v="3"/>
    <n v="4"/>
    <s v="1.1.3.2"/>
    <x v="3"/>
  </r>
  <r>
    <s v="1.1.4"/>
    <s v="        US-04: Expiring Gatepasses Widget with Renew Shortcut"/>
    <x v="2"/>
    <n v="12"/>
    <s v="1.1.3"/>
    <x v="1"/>
  </r>
  <r>
    <s v="1.1.1.1"/>
    <s v="            Database"/>
    <x v="3"/>
    <n v="2"/>
    <s v="1.1.1"/>
    <x v="2"/>
  </r>
  <r>
    <s v="1.1.4.1"/>
    <s v="            Backend API"/>
    <x v="3"/>
    <n v="3"/>
    <s v="1.1.4"/>
    <x v="2"/>
  </r>
  <r>
    <s v="1.1.4.2"/>
    <s v="            Web Front End"/>
    <x v="3"/>
    <n v="3"/>
    <s v="1.1.4.1"/>
    <x v="2"/>
  </r>
  <r>
    <s v="1.1.4.3"/>
    <s v="            Mobile"/>
    <x v="3"/>
    <n v="4"/>
    <s v="1.1.4.2"/>
    <x v="3"/>
  </r>
  <r>
    <s v="1.2"/>
    <s v="    Epic 2: Labour Registration"/>
    <x v="1"/>
    <n v="53"/>
    <s v="1.1"/>
    <x v="0"/>
  </r>
  <r>
    <s v="1.2.1"/>
    <s v="        US-05: Admin Registers New Labour via Four-Section Form"/>
    <x v="2"/>
    <n v="14"/>
    <s v="1.2"/>
    <x v="1"/>
  </r>
  <r>
    <s v="1.2.1.1"/>
    <s v="            Database"/>
    <x v="3"/>
    <n v="2"/>
    <s v="1.2.1"/>
    <x v="2"/>
  </r>
  <r>
    <s v="1.2.1.2"/>
    <s v="            Backend API"/>
    <x v="3"/>
    <n v="4"/>
    <s v="1.2.1.1"/>
    <x v="4"/>
  </r>
  <r>
    <s v="1.2.1.3"/>
    <s v="            Web Front End"/>
    <x v="3"/>
    <n v="4"/>
    <s v="1.2.1.2"/>
    <x v="5"/>
  </r>
  <r>
    <s v="1.2.1.4"/>
    <s v="            Mobile"/>
    <x v="3"/>
    <n v="4"/>
    <s v="1.2.1.3"/>
    <x v="3"/>
  </r>
  <r>
    <s v="1.2.2"/>
    <s v="        US-06: Auto-Fill Contractor Contact Number on Selection"/>
    <x v="2"/>
    <n v="4"/>
    <s v="1.2.1"/>
    <x v="1"/>
  </r>
  <r>
    <s v="1.2.2.1"/>
    <s v="            Backend API"/>
    <x v="3"/>
    <n v="2"/>
    <s v="1.2.2"/>
    <x v="4"/>
  </r>
  <r>
    <s v="1.2.2.2"/>
    <s v="            Web Front End"/>
    <x v="3"/>
    <n v="1"/>
    <s v="1.2.2.1"/>
    <x v="5"/>
  </r>
  <r>
    <s v="1.2.2.3"/>
    <s v="            Mobile"/>
    <x v="3"/>
    <n v="1"/>
    <s v="1.2.2.2"/>
    <x v="3"/>
  </r>
  <r>
    <s v="1.2.3"/>
    <s v="        US-07: System Validates Minimum Age of 18 Years at Registration"/>
    <x v="2"/>
    <n v="4"/>
    <s v="1.2.2"/>
    <x v="1"/>
  </r>
  <r>
    <s v="1.2.3.1"/>
    <s v="            Backend API"/>
    <x v="3"/>
    <n v="2"/>
    <s v="1.2.3"/>
    <x v="4"/>
  </r>
  <r>
    <s v="1.2.3.2"/>
    <s v="            Web Front End"/>
    <x v="3"/>
    <n v="1"/>
    <s v="1.2.3.1"/>
    <x v="5"/>
  </r>
  <r>
    <s v="1.2.3.3"/>
    <s v="            Mobile"/>
    <x v="3"/>
    <n v="1"/>
    <s v="1.2.3.2"/>
    <x v="3"/>
  </r>
  <r>
    <s v="1.2.4"/>
    <s v="        US-08: System Enforces Aadhaar Mandatory Format and Masking"/>
    <x v="2"/>
    <n v="4"/>
    <s v="1.2.3"/>
    <x v="1"/>
  </r>
  <r>
    <s v="1.2.4.1"/>
    <s v="            Backend API"/>
    <x v="3"/>
    <n v="2"/>
    <s v="1.2.4"/>
    <x v="4"/>
  </r>
  <r>
    <s v="1.2.4.2"/>
    <s v="            Web Front End"/>
    <x v="3"/>
    <n v="1"/>
    <s v="1.2.4.1"/>
    <x v="5"/>
  </r>
  <r>
    <s v="1.2.4.3"/>
    <s v="            Mobile"/>
    <x v="3"/>
    <n v="1"/>
    <s v="1.2.4.2"/>
    <x v="3"/>
  </r>
  <r>
    <s v="1.2.5"/>
    <s v="        US-09: System Validates PAN Format When Provided"/>
    <x v="2"/>
    <n v="4"/>
    <s v="1.2.4"/>
    <x v="1"/>
  </r>
  <r>
    <s v="1.2.5.1"/>
    <s v="            Backend API"/>
    <x v="3"/>
    <n v="2"/>
    <s v="1.2.5"/>
    <x v="4"/>
  </r>
  <r>
    <s v="1.2.5.2"/>
    <s v="            Web Front End"/>
    <x v="3"/>
    <n v="1"/>
    <s v="1.2.5.1"/>
    <x v="5"/>
  </r>
  <r>
    <s v="1.2.5.3"/>
    <s v="            Mobile"/>
    <x v="3"/>
    <n v="1"/>
    <s v="1.2.5.2"/>
    <x v="3"/>
  </r>
  <r>
    <s v="1.2.6"/>
    <s v="        US-10: System Enforces Mandatory Labour Photo Before Save"/>
    <x v="2"/>
    <n v="8"/>
    <s v="1.2.5"/>
    <x v="1"/>
  </r>
  <r>
    <s v="1.2.6.1"/>
    <s v="            Backend API"/>
    <x v="3"/>
    <n v="2"/>
    <s v="1.2.6"/>
    <x v="4"/>
  </r>
  <r>
    <s v="1.2.6.2"/>
    <s v="            Web Front End"/>
    <x v="3"/>
    <n v="3"/>
    <s v="1.2.6.1"/>
    <x v="5"/>
  </r>
  <r>
    <s v="1.2.6.3"/>
    <s v="            Mobile"/>
    <x v="3"/>
    <n v="3"/>
    <s v="1.2.6.2"/>
    <x v="3"/>
  </r>
  <r>
    <s v="1.2.7"/>
    <s v="        US-11: System Validates Vaccine Date Sequencing"/>
    <x v="2"/>
    <n v="8"/>
    <s v="1.2.6"/>
    <x v="1"/>
  </r>
  <r>
    <s v="1.2.7.1"/>
    <s v="            Backend API"/>
    <x v="3"/>
    <n v="2"/>
    <s v="1.2.7"/>
    <x v="4"/>
  </r>
  <r>
    <s v="1.2.7.2"/>
    <s v="            Web Front End"/>
    <x v="3"/>
    <n v="3"/>
    <s v="1.2.7.1"/>
    <x v="5"/>
  </r>
  <r>
    <s v="1.2.7.3"/>
    <s v="            Mobile"/>
    <x v="3"/>
    <n v="3"/>
    <s v="1.2.7.2"/>
    <x v="3"/>
  </r>
  <r>
    <s v="1.2.8"/>
    <s v="        US-12: Admin Views Success Summary and Auto-Notifies Safety Officer"/>
    <x v="2"/>
    <n v="7"/>
    <s v="1.2.7"/>
    <x v="1"/>
  </r>
  <r>
    <s v="1.2.8.1"/>
    <s v="            Backend API"/>
    <x v="3"/>
    <n v="3"/>
    <s v="1.2.8"/>
    <x v="4"/>
  </r>
  <r>
    <s v="1.2.8.2"/>
    <s v="            Web Front End"/>
    <x v="3"/>
    <n v="2"/>
    <s v="1.2.8.1"/>
    <x v="5"/>
  </r>
  <r>
    <s v="1.2.8.3"/>
    <s v="            Mobile"/>
    <x v="3"/>
    <n v="2"/>
    <s v="1.2.8.2"/>
    <x v="3"/>
  </r>
  <r>
    <s v="1.3"/>
    <s v="    Epic 3: Multi-Project Reuse &amp; Duplicate Prevention"/>
    <x v="1"/>
    <n v="22"/>
    <s v="1.2"/>
    <x v="0"/>
  </r>
  <r>
    <s v="1.3.1"/>
    <s v="        US-13: System Detects Cross-Project Aadhaar Match and Prompts Reuse"/>
    <x v="2"/>
    <n v="6"/>
    <s v="1.3"/>
    <x v="1"/>
  </r>
  <r>
    <s v="1.3.1.2"/>
    <s v="            Backend API"/>
    <x v="3"/>
    <n v="2"/>
    <s v="1.3.1.1"/>
    <x v="4"/>
  </r>
  <r>
    <s v="1.3.1.3"/>
    <s v="            Web Front End"/>
    <x v="3"/>
    <n v="2"/>
    <s v="1.3.1.2"/>
    <x v="5"/>
  </r>
  <r>
    <s v="1.3.1.4"/>
    <s v="            Mobile"/>
    <x v="3"/>
    <n v="2"/>
    <s v="1.3.1.3"/>
    <x v="3"/>
  </r>
  <r>
    <s v="1.3.2"/>
    <s v="        US-14: Admin Reuses Existing Record with One Click"/>
    <x v="2"/>
    <n v="4"/>
    <s v="1.3.1"/>
    <x v="1"/>
  </r>
  <r>
    <s v="1.3.3.1"/>
    <s v="            Backend API"/>
    <x v="3"/>
    <n v="0"/>
    <s v="1.3.3"/>
    <x v="4"/>
  </r>
  <r>
    <s v="1.3.2.2"/>
    <s v="            Web Front End"/>
    <x v="3"/>
    <n v="2"/>
    <s v="1.3.2.1"/>
    <x v="5"/>
  </r>
  <r>
    <s v="1.3.2.3"/>
    <s v="            Mobile"/>
    <x v="3"/>
    <n v="2"/>
    <s v="1.3.2.2"/>
    <x v="3"/>
  </r>
  <r>
    <s v="1.3.3"/>
    <s v="        US-15: Admin Creates a New Record Despite a Cross-Project Match"/>
    <x v="2"/>
    <n v="6"/>
    <s v="1.3.2"/>
    <x v="1"/>
  </r>
  <r>
    <s v="1.3.3.1"/>
    <s v="            Backend API"/>
    <x v="3"/>
    <n v="2"/>
    <s v="1.3.3"/>
    <x v="4"/>
  </r>
  <r>
    <s v="1.3.3.2"/>
    <s v="            Web Front End"/>
    <x v="3"/>
    <n v="2"/>
    <s v="1.3.3.1"/>
    <x v="5"/>
  </r>
  <r>
    <s v="1.3.3.3"/>
    <s v="            Mobile"/>
    <x v="3"/>
    <n v="2"/>
    <s v="1.3.3.2"/>
    <x v="3"/>
  </r>
  <r>
    <s v="1.3.4"/>
    <s v="        US-16: System Hard-Blocks Duplicate Aadhaar on the Same Project"/>
    <x v="2"/>
    <n v="6"/>
    <s v="1.3.3"/>
    <x v="1"/>
  </r>
  <r>
    <s v="1.3.4.1"/>
    <s v="            Backend API"/>
    <x v="3"/>
    <n v="2"/>
    <s v="1.3.4"/>
    <x v="4"/>
  </r>
  <r>
    <s v="1.3.4.2"/>
    <s v="            Web Front End"/>
    <x v="3"/>
    <n v="2"/>
    <s v="1.3.4.1"/>
    <x v="5"/>
  </r>
  <r>
    <s v="1.3.4.3"/>
    <s v="            Mobile"/>
    <x v="3"/>
    <n v="2"/>
    <s v="1.3.4.2"/>
    <x v="3"/>
  </r>
  <r>
    <s v="1.4"/>
    <s v="    Epic 4: Labour List, Search &amp; Export"/>
    <x v="1"/>
    <n v="26"/>
    <s v="1.3"/>
    <x v="0"/>
  </r>
  <r>
    <s v="1.4.1"/>
    <s v="        US-17: Admin Searches and Filters the Labour List"/>
    <x v="2"/>
    <n v="10"/>
    <s v="1.4"/>
    <x v="1"/>
  </r>
  <r>
    <s v="1.4.1.1"/>
    <s v="            Database"/>
    <x v="3"/>
    <n v="4"/>
    <s v="1.4.1"/>
    <x v="2"/>
  </r>
  <r>
    <s v="1.4.1.2"/>
    <s v="            Backend API"/>
    <x v="3"/>
    <n v="2"/>
    <s v="1.4.1.1"/>
    <x v="4"/>
  </r>
  <r>
    <s v="1.4.1.3"/>
    <s v="            Web Front End"/>
    <x v="3"/>
    <n v="2"/>
    <s v="1.4.1.2"/>
    <x v="5"/>
  </r>
  <r>
    <s v="1.4.1.4"/>
    <s v="            Mobile"/>
    <x v="3"/>
    <n v="2"/>
    <s v="1.4.1.3"/>
    <x v="3"/>
  </r>
  <r>
    <s v="1.4.2"/>
    <s v="        US-18: Admin Exports Filtered Labour List to Excel"/>
    <x v="2"/>
    <n v="6"/>
    <s v="1.4.1"/>
    <x v="1"/>
  </r>
  <r>
    <s v="1.4.2.1"/>
    <s v="            Backend API"/>
    <x v="3"/>
    <n v="4"/>
    <s v="1.4.2"/>
    <x v="4"/>
  </r>
  <r>
    <s v="1.4.2.2"/>
    <s v="            Web Front End"/>
    <x v="3"/>
    <n v="1"/>
    <s v="1.4.2.1"/>
    <x v="5"/>
  </r>
  <r>
    <s v="1.4.2.3"/>
    <s v="            Mobile"/>
    <x v="3"/>
    <n v="1"/>
    <s v="1.4.2.2"/>
    <x v="3"/>
  </r>
  <r>
    <s v="1.4.3"/>
    <s v="        US-19: Admin Issues Gatepass Directly from Labour List"/>
    <x v="2"/>
    <n v="10"/>
    <s v="1.4.2"/>
    <x v="1"/>
  </r>
  <r>
    <s v="1.4.3.1"/>
    <s v="            Backend API"/>
    <x v="3"/>
    <n v="3"/>
    <s v="1.4.3"/>
    <x v="4"/>
  </r>
  <r>
    <s v="1.4.3.2"/>
    <s v="            Web Front End"/>
    <x v="3"/>
    <n v="3"/>
    <s v="1.4.3.1"/>
    <x v="5"/>
  </r>
  <r>
    <s v="1.4.3.3"/>
    <s v="            Mobile"/>
    <x v="3"/>
    <n v="4"/>
    <s v="1.4.3.2"/>
    <x v="3"/>
  </r>
  <r>
    <s v="1.4.4"/>
    <s v="        US-20: Admin Views Paginated Labour List with Total Count"/>
    <x v="2"/>
    <n v="0"/>
    <s v="1.4.3"/>
    <x v="1"/>
  </r>
  <r>
    <s v="1.4.4.1"/>
    <s v="            Backend API"/>
    <x v="3"/>
    <n v="0"/>
    <s v="1.4.4"/>
    <x v="4"/>
  </r>
  <r>
    <s v="1.4.4.2"/>
    <s v="            Web Front End"/>
    <x v="3"/>
    <n v="0"/>
    <s v="1.4.4.1"/>
    <x v="5"/>
  </r>
  <r>
    <s v="1.4.4.3"/>
    <s v="            Mobile"/>
    <x v="3"/>
    <n v="0"/>
    <s v="1.4.4.2"/>
    <x v="3"/>
  </r>
  <r>
    <s v="1.5"/>
    <s v="    Epic 5: Gatepass Issuance"/>
    <x v="1"/>
    <n v="54"/>
    <s v="1.4"/>
    <x v="0"/>
  </r>
  <r>
    <s v="1.5.1"/>
    <s v="        US-21: Admin Issues Gatepass Gated on Safety Clearance"/>
    <x v="2"/>
    <n v="26"/>
    <s v="1.5"/>
    <x v="1"/>
  </r>
  <r>
    <s v="1.5.1.1"/>
    <s v="            Database"/>
    <x v="3"/>
    <n v="6"/>
    <s v="1.5.1"/>
    <x v="2"/>
  </r>
  <r>
    <s v="1.5.1.2"/>
    <s v="            Backend API"/>
    <x v="3"/>
    <n v="8"/>
    <s v="1.5.1.1"/>
    <x v="4"/>
  </r>
  <r>
    <s v="1.5.1.3"/>
    <s v="            Web Front End"/>
    <x v="3"/>
    <n v="6"/>
    <s v="1.5.1.2"/>
    <x v="5"/>
  </r>
  <r>
    <s v="1.5.1.4"/>
    <s v="            Mobile"/>
    <x v="3"/>
    <n v="6"/>
    <s v="1.5.1.3"/>
    <x v="3"/>
  </r>
  <r>
    <s v="1.5.2"/>
    <s v="        US-22: System Validates Gatepass Validity Dates on Issuance"/>
    <x v="2"/>
    <n v="4"/>
    <s v="1.5.1"/>
    <x v="1"/>
  </r>
  <r>
    <s v="1.5.2.1"/>
    <s v="            Backend API"/>
    <x v="3"/>
    <n v="2"/>
    <s v="1.5.2"/>
    <x v="4"/>
  </r>
  <r>
    <s v="1.5.2.2"/>
    <s v="            Web Front End"/>
    <x v="3"/>
    <n v="1"/>
    <s v="1.5.2.1"/>
    <x v="5"/>
  </r>
  <r>
    <s v="1.5.2.3"/>
    <s v="            Mobile"/>
    <x v="3"/>
    <n v="1"/>
    <s v="1.5.2.2"/>
    <x v="3"/>
  </r>
  <r>
    <s v="1.5.3"/>
    <s v="        US-23: System Generates Unique Gatepass Number on Issuance"/>
    <x v="2"/>
    <n v="2"/>
    <s v="1.5.2"/>
    <x v="1"/>
  </r>
  <r>
    <s v="1.5.3.1"/>
    <s v="            Backend API"/>
    <x v="3"/>
    <n v="2"/>
    <s v="1.5.3"/>
    <x v="4"/>
  </r>
  <r>
    <s v="1.5.3.2"/>
    <s v="            Web Front End"/>
    <x v="3"/>
    <n v="0"/>
    <s v="1.5.3.1"/>
    <x v="5"/>
  </r>
  <r>
    <s v="1.5.3.3"/>
    <s v="            Mobile"/>
    <x v="3"/>
    <n v="0"/>
    <s v="1.5.3.2"/>
    <x v="3"/>
  </r>
  <r>
    <s v="1.5.4"/>
    <s v="        US-24: Admin Views and Filters Gatepass Management List"/>
    <x v="2"/>
    <n v="16"/>
    <s v="1.5.3"/>
    <x v="1"/>
  </r>
  <r>
    <s v="1.5.4.1"/>
    <s v="            Backend API"/>
    <x v="3"/>
    <n v="6"/>
    <s v="1.5.4"/>
    <x v="4"/>
  </r>
  <r>
    <s v="1.5.4.2"/>
    <s v="            Web Front End"/>
    <x v="3"/>
    <n v="5"/>
    <s v="1.5.4.1"/>
    <x v="5"/>
  </r>
  <r>
    <s v="1.5.4.3"/>
    <s v="            Mobile"/>
    <x v="3"/>
    <n v="5"/>
    <s v="1.5.4.2"/>
    <x v="3"/>
  </r>
  <r>
    <s v="1.5.5"/>
    <s v="        US-25: Admin Views Cleared Count Summary on Gatepass Screen"/>
    <x v="2"/>
    <n v="6"/>
    <s v="1.5.4"/>
    <x v="1"/>
  </r>
  <r>
    <s v="1.5.5.1"/>
    <s v="            Backend API"/>
    <x v="3"/>
    <n v="2"/>
    <s v="1.5.5"/>
    <x v="4"/>
  </r>
  <r>
    <s v="1.5.5.2"/>
    <s v="            Web Front End"/>
    <x v="3"/>
    <n v="2"/>
    <s v="1.5.5.1"/>
    <x v="5"/>
  </r>
  <r>
    <s v="1.5.5.3"/>
    <s v="            Mobile"/>
    <x v="3"/>
    <n v="2"/>
    <s v="1.5.5.2"/>
    <x v="3"/>
  </r>
  <r>
    <s v="1.6"/>
    <s v="    Epic 6: Gatepass Renewal &amp; Revocation"/>
    <x v="1"/>
    <n v="33"/>
    <s v="1.5"/>
    <x v="0"/>
  </r>
  <r>
    <s v="1.6.1"/>
    <s v="        US-26: Admin Renews an Expired Gatepass"/>
    <x v="2"/>
    <n v="16"/>
    <s v="1.6"/>
    <x v="1"/>
  </r>
  <r>
    <s v="1.6.1.1"/>
    <s v="            Database"/>
    <x v="3"/>
    <n v="4"/>
    <s v="1.6.1"/>
    <x v="2"/>
  </r>
  <r>
    <s v="1.6.1.2"/>
    <s v="            Backend API"/>
    <x v="3"/>
    <n v="4"/>
    <s v="1.6.1.1"/>
    <x v="4"/>
  </r>
  <r>
    <s v="1.6.1.3"/>
    <s v="            Web Front End"/>
    <x v="3"/>
    <n v="4"/>
    <s v="1.6.1.2"/>
    <x v="5"/>
  </r>
  <r>
    <s v="1.6.1.4"/>
    <s v="            Mobile"/>
    <x v="3"/>
    <n v="4"/>
    <s v="1.6.1.3"/>
    <x v="3"/>
  </r>
  <r>
    <s v="1.6.2"/>
    <s v="        US-27: System Requires Mandatory Reason for Gatepass Revocation"/>
    <x v="2"/>
    <n v="6"/>
    <s v="1.6.1"/>
    <x v="1"/>
  </r>
  <r>
    <s v="1.6.2.1"/>
    <s v="            Backend API"/>
    <x v="3"/>
    <n v="2"/>
    <s v="1.6.2"/>
    <x v="4"/>
  </r>
  <r>
    <s v="1.6.2.2"/>
    <s v="            Web Front End"/>
    <x v="3"/>
    <n v="2"/>
    <s v="1.6.2.1"/>
    <x v="5"/>
  </r>
  <r>
    <s v="1.6.2.3"/>
    <s v="            Mobile"/>
    <x v="3"/>
    <n v="2"/>
    <s v="1.6.2.2"/>
    <x v="3"/>
  </r>
  <r>
    <s v="1.6.3"/>
    <s v="        US-28: System Displays Irreversibility Warning Before Confirming Revocation"/>
    <x v="2"/>
    <n v="5"/>
    <s v="1.6.2"/>
    <x v="1"/>
  </r>
  <r>
    <s v="1.6.3.1"/>
    <s v="            Backend API"/>
    <x v="3"/>
    <n v="2"/>
    <s v="1.6.3"/>
    <x v="4"/>
  </r>
  <r>
    <s v="1.6.3.2"/>
    <s v="            Web Front End"/>
    <x v="3"/>
    <n v="2"/>
    <s v="1.6.3.1"/>
    <x v="5"/>
  </r>
  <r>
    <s v="1.6.3.3"/>
    <s v="            Mobile"/>
    <x v="3"/>
    <n v="1"/>
    <s v="1.6.3.2"/>
    <x v="3"/>
  </r>
  <r>
    <s v="1.6.4"/>
    <s v="        US-29: System Enforces Irreversible Status Change on Revocation"/>
    <x v="2"/>
    <n v="6"/>
    <s v="1.6.3"/>
    <x v="1"/>
  </r>
  <r>
    <s v="1.6.4.1"/>
    <s v="            Backend API"/>
    <x v="3"/>
    <n v="2"/>
    <s v="1.6.4"/>
    <x v="4"/>
  </r>
  <r>
    <s v="1.6.4.2"/>
    <s v="            Web Front End"/>
    <x v="3"/>
    <n v="2"/>
    <s v="1.6.4.1"/>
    <x v="5"/>
  </r>
  <r>
    <s v="1.6.4.3"/>
    <s v="            Mobile"/>
    <x v="3"/>
    <n v="2"/>
    <s v="1.6.4.2"/>
    <x v="3"/>
  </r>
  <r>
    <s v="1.7"/>
    <s v="    Epic 7: Bulk Print &amp; Printable Gatepass Slip"/>
    <x v="1"/>
    <n v="37"/>
    <s v="1.6"/>
    <x v="0"/>
  </r>
  <r>
    <s v="1.7.1"/>
    <s v="        US-30: Admin Selects Multiple Active Gatepasses for Bulk Print"/>
    <x v="2"/>
    <n v="10"/>
    <s v="1.7"/>
    <x v="1"/>
  </r>
  <r>
    <s v="1.7.1.1"/>
    <s v="            Database"/>
    <x v="3"/>
    <n v="2"/>
    <s v="1.7.1"/>
    <x v="2"/>
  </r>
  <r>
    <s v="1.7.1.2"/>
    <s v="            Backend API"/>
    <x v="3"/>
    <n v="4"/>
    <s v="1.7.1.1"/>
    <x v="4"/>
  </r>
  <r>
    <s v="1.7.1.3"/>
    <s v="            Web Front End"/>
    <x v="3"/>
    <n v="4"/>
    <s v="1.7.1.2"/>
    <x v="5"/>
  </r>
  <r>
    <s v="1.7.2"/>
    <s v="        US-31: Admin Confirms Bulk Print with Previous Print Count Visibility"/>
    <x v="2"/>
    <n v="6"/>
    <s v="1.7.1"/>
    <x v="1"/>
  </r>
  <r>
    <s v="1.7.2.1"/>
    <s v="            Backend API"/>
    <x v="3"/>
    <n v="3"/>
    <s v="1.7.2"/>
    <x v="4"/>
  </r>
  <r>
    <s v="1.7.2.2"/>
    <s v="            Web Front End"/>
    <x v="3"/>
    <n v="3"/>
    <s v="1.7.2.1"/>
    <x v="5"/>
  </r>
  <r>
    <s v="1.7.3"/>
    <s v="        US-32: System Increments and Logs Print Count on Every Print Action"/>
    <x v="2"/>
    <n v="6"/>
    <s v="1.7.2"/>
    <x v="1"/>
  </r>
  <r>
    <s v="1.7.3.1"/>
    <s v="            Backend API"/>
    <x v="3"/>
    <n v="3"/>
    <s v="1.7.3"/>
    <x v="4"/>
  </r>
  <r>
    <s v="1.7.3.2"/>
    <s v="            Web Front End"/>
    <x v="3"/>
    <n v="3"/>
    <s v="1.7.3.1"/>
    <x v="5"/>
  </r>
  <r>
    <s v="1.7.4"/>
    <s v="        US-33: Admin Generates A5 Printable Gatepass Slip"/>
    <x v="2"/>
    <n v="9"/>
    <s v="1.7.3"/>
    <x v="1"/>
  </r>
  <r>
    <s v="1.7.4.1"/>
    <s v="            Backend API"/>
    <x v="3"/>
    <n v="4"/>
    <s v="1.7.4"/>
    <x v="4"/>
  </r>
  <r>
    <s v="1.7.4.2"/>
    <s v="            Web Front End"/>
    <x v="3"/>
    <n v="5"/>
    <s v="1.7.4.1"/>
    <x v="5"/>
  </r>
  <r>
    <s v="1.7.5"/>
    <s v="        US-34: Admin Generates ID-Card (CR80) Printable Gatepass"/>
    <x v="2"/>
    <n v="6"/>
    <s v="1.7.4"/>
    <x v="1"/>
  </r>
  <r>
    <s v="1.7.5.1"/>
    <s v="            Backend API"/>
    <x v="3"/>
    <n v="3"/>
    <s v="1.7.5"/>
    <x v="4"/>
  </r>
  <r>
    <s v="1.7.5.2"/>
    <s v="            Web Front End"/>
    <x v="3"/>
    <n v="3"/>
    <s v="1.7.5.1"/>
    <x v="5"/>
  </r>
  <r>
    <s v="1.7.6"/>
    <s v="        US-35: System Renders Revoked Watermark and Warns Before Printing a Revoked Pass"/>
    <x v="2"/>
    <n v="0"/>
    <s v="1.7.5"/>
    <x v="1"/>
  </r>
  <r>
    <s v="1.7.6.1"/>
    <s v="            Backend API"/>
    <x v="3"/>
    <n v="0"/>
    <s v="1.7.6"/>
    <x v="4"/>
  </r>
  <r>
    <s v="1.7.6.2"/>
    <s v="            Web Front End"/>
    <x v="3"/>
    <n v="0"/>
    <s v="1.7.6.1"/>
    <x v="5"/>
  </r>
  <r>
    <s v="1.8"/>
    <s v="    Epic 8: Colony Assignment"/>
    <x v="1"/>
    <n v="64"/>
    <s v="1.7"/>
    <x v="0"/>
  </r>
  <r>
    <s v="1.8.1"/>
    <s v="        US-36: Admin Views Block-Wise Room Occupancy"/>
    <x v="2"/>
    <n v="18"/>
    <s v="1.8"/>
    <x v="1"/>
  </r>
  <r>
    <s v="1.8.1.1"/>
    <s v="            Database"/>
    <x v="3"/>
    <n v="4"/>
    <s v="1.8.1"/>
    <x v="2"/>
  </r>
  <r>
    <s v="1.8.1.2"/>
    <s v="            Backend API"/>
    <x v="3"/>
    <n v="4"/>
    <s v="1.8.1.1"/>
    <x v="4"/>
  </r>
  <r>
    <s v="1.8.1.3"/>
    <s v="            Web Front End"/>
    <x v="3"/>
    <n v="5"/>
    <s v="1.8.1.2"/>
    <x v="5"/>
  </r>
  <r>
    <s v="1.8.1.4"/>
    <s v="            Mobile"/>
    <x v="3"/>
    <n v="5"/>
    <s v="1.8.1.3"/>
    <x v="3"/>
  </r>
  <r>
    <s v="1.8.2"/>
    <s v="        US-37: Admin Creates a New Colony Assignment with Capacity Visibility"/>
    <x v="2"/>
    <n v="10"/>
    <s v="1.8.1"/>
    <x v="1"/>
  </r>
  <r>
    <s v="1.8.2.1"/>
    <s v="            Backend API"/>
    <x v="3"/>
    <n v="4"/>
    <s v="1.8.2"/>
    <x v="4"/>
  </r>
  <r>
    <s v="1.8.2.2"/>
    <s v="            Web Front End"/>
    <x v="3"/>
    <n v="3"/>
    <s v="1.8.2.1"/>
    <x v="5"/>
  </r>
  <r>
    <s v="1.8.2.3"/>
    <s v="            Mobile"/>
    <x v="3"/>
    <n v="3"/>
    <s v="1.8.2.2"/>
    <x v="3"/>
  </r>
  <r>
    <s v="1.8.3"/>
    <s v="        US-38: System Blocks Assignment Beyond Room Capacity"/>
    <x v="2"/>
    <n v="14"/>
    <s v="1.8.2"/>
    <x v="1"/>
  </r>
  <r>
    <s v="1.8.3.1"/>
    <s v="            Backend API"/>
    <x v="3"/>
    <n v="4"/>
    <s v="1.8.3"/>
    <x v="4"/>
  </r>
  <r>
    <s v="1.8.3.2"/>
    <s v="            Web Front End"/>
    <x v="3"/>
    <n v="5"/>
    <s v="1.8.3.1"/>
    <x v="5"/>
  </r>
  <r>
    <s v="1.8.3.3"/>
    <s v="            Mobile"/>
    <x v="3"/>
    <n v="5"/>
    <s v="1.8.3.2"/>
    <x v="3"/>
  </r>
  <r>
    <s v="1.8.4"/>
    <s v="        US-39: Admin Reassigns a Worker to a Different Room"/>
    <x v="2"/>
    <n v="11"/>
    <s v="1.8.3"/>
    <x v="1"/>
  </r>
  <r>
    <s v="1.8.4.1"/>
    <s v="            Backend API"/>
    <x v="3"/>
    <n v="4"/>
    <s v="1.8.4"/>
    <x v="4"/>
  </r>
  <r>
    <s v="1.8.4.2"/>
    <s v="            Web Front End"/>
    <x v="3"/>
    <n v="4"/>
    <s v="1.8.4.1"/>
    <x v="5"/>
  </r>
  <r>
    <s v="1.8.4.3"/>
    <s v="            Mobile"/>
    <x v="3"/>
    <n v="3"/>
    <s v="1.8.4.2"/>
    <x v="3"/>
  </r>
  <r>
    <s v="1.8.5"/>
    <s v="        US-40: Admin Vacates a Colony Assignment"/>
    <x v="2"/>
    <n v="11"/>
    <s v="1.8.4"/>
    <x v="1"/>
  </r>
  <r>
    <s v="1.8.5.1"/>
    <s v="            Backend API"/>
    <x v="3"/>
    <n v="4"/>
    <s v="1.8.5"/>
    <x v="4"/>
  </r>
  <r>
    <s v="1.8.5.2"/>
    <s v="            Web Front End"/>
    <x v="3"/>
    <n v="4"/>
    <s v="1.8.5.1"/>
    <x v="5"/>
  </r>
  <r>
    <s v="1.8.5.3"/>
    <s v="            Mobile"/>
    <x v="3"/>
    <n v="3"/>
    <s v="1.8.5.2"/>
    <x v="3"/>
  </r>
  <r>
    <s v="1.9"/>
    <s v="    Epic 9: Notifications &amp; Alerts"/>
    <x v="1"/>
    <n v="24"/>
    <s v="1.8"/>
    <x v="0"/>
  </r>
  <r>
    <s v="1.9.1"/>
    <s v="        US-41: System Sends In-App Toast on Successful Labour Registration"/>
    <x v="2"/>
    <n v="0"/>
    <s v="1.9"/>
    <x v="1"/>
  </r>
  <r>
    <s v="1.9.1.1"/>
    <s v="            Database"/>
    <x v="3"/>
    <n v="0"/>
    <s v="1.9.1"/>
    <x v="2"/>
  </r>
  <r>
    <s v="1.9.1.2"/>
    <s v="            Backend API"/>
    <x v="3"/>
    <n v="0"/>
    <s v="1.9.1.1"/>
    <x v="4"/>
  </r>
  <r>
    <s v="1.9.1.3"/>
    <s v="            Web Front End"/>
    <x v="3"/>
    <n v="0"/>
    <s v="1.9.1.2"/>
    <x v="5"/>
  </r>
  <r>
    <s v="1.9.1.4"/>
    <s v="            Mobile"/>
    <x v="3"/>
    <n v="0"/>
    <s v="1.9.1.3"/>
    <x v="3"/>
  </r>
  <r>
    <s v="1.9.2"/>
    <s v="        US-42: System Notifies Admin Team on Safety Clearance Confirmation"/>
    <x v="2"/>
    <n v="10"/>
    <s v="1.9.1"/>
    <x v="1"/>
  </r>
  <r>
    <s v="1.9.2.1"/>
    <s v="            Backend API"/>
    <x v="3"/>
    <n v="4"/>
    <s v="1.9.2"/>
    <x v="4"/>
  </r>
  <r>
    <s v="1.9.2.2"/>
    <s v="            Web Front End"/>
    <x v="3"/>
    <n v="3"/>
    <s v="1.9.2.1"/>
    <x v="5"/>
  </r>
  <r>
    <s v="1.9.2.3"/>
    <s v="            Mobile"/>
    <x v="3"/>
    <n v="3"/>
    <s v="1.9.2.2"/>
    <x v="3"/>
  </r>
  <r>
    <s v="1.9.3"/>
    <s v="        US-43: System Sends Expiry Alerts via Push"/>
    <x v="2"/>
    <n v="10"/>
    <s v="1.9.2"/>
    <x v="1"/>
  </r>
  <r>
    <s v="1.9.3.1"/>
    <s v="            Backend API"/>
    <x v="3"/>
    <n v="4"/>
    <s v="1.9.3"/>
    <x v="4"/>
  </r>
  <r>
    <s v="1.9.3.2"/>
    <s v="            Web Front End"/>
    <x v="3"/>
    <n v="3"/>
    <s v="1.9.3.1"/>
    <x v="5"/>
  </r>
  <r>
    <s v="1.9.3.3"/>
    <s v="            Mobile"/>
    <x v="3"/>
    <n v="3"/>
    <s v="1.9.3.2"/>
    <x v="3"/>
  </r>
  <r>
    <s v="1.9.4"/>
    <s v="        US-44: System Displays Inline Warning on Room Capacity Conflict"/>
    <x v="2"/>
    <n v="4"/>
    <s v="1.9.3"/>
    <x v="1"/>
  </r>
  <r>
    <s v="1.9.4.1"/>
    <s v="            Backend API"/>
    <x v="3"/>
    <n v="2"/>
    <s v="1.9.4"/>
    <x v="4"/>
  </r>
  <r>
    <s v="1.9.4.2"/>
    <s v="            Web Front End"/>
    <x v="3"/>
    <n v="1"/>
    <s v="1.9.4.1"/>
    <x v="5"/>
  </r>
  <r>
    <s v="1.9.4.3"/>
    <s v="            Mobile"/>
    <x v="3"/>
    <n v="1"/>
    <s v="1.9.4.2"/>
    <x v="3"/>
  </r>
  <r>
    <s v="1.10"/>
    <s v="    Epic 10: Mobile Experience"/>
    <x v="1"/>
    <n v="6"/>
    <s v="1.9"/>
    <x v="0"/>
  </r>
  <r>
    <s v="1.10.2"/>
    <s v="        US-46: Admin Captures Photo and Documents via Device Camera"/>
    <x v="2"/>
    <n v="6"/>
    <s v="1.10.1"/>
    <x v="1"/>
  </r>
  <r>
    <s v="1.10.2.3"/>
    <s v="            Mobile"/>
    <x v="3"/>
    <n v="6"/>
    <s v="1.10.2.2"/>
    <x v="3"/>
  </r>
  <r>
    <s v="1.11"/>
    <s v="    Epic 11: Integrations, Reporting &amp; NFRs"/>
    <x v="1"/>
    <n v="33"/>
    <s v="1.10"/>
    <x v="0"/>
  </r>
  <r>
    <s v="1.11.1"/>
    <s v="        US-49: System Consumes Safety Clearance Flag Read-Only from Safety Module"/>
    <x v="2"/>
    <n v="14"/>
    <s v="1.11"/>
    <x v="1"/>
  </r>
  <r>
    <s v="1.11.1.1"/>
    <s v="            Database"/>
    <x v="3"/>
    <n v="2"/>
    <s v="1.11.1"/>
    <x v="2"/>
  </r>
  <r>
    <s v="1.11.1.2"/>
    <s v="            Backend API"/>
    <x v="3"/>
    <n v="4"/>
    <s v="1.11.1.1"/>
    <x v="2"/>
  </r>
  <r>
    <s v="1.11.1.3"/>
    <s v="            Web Front End"/>
    <x v="3"/>
    <n v="4"/>
    <s v="1.11.1.2"/>
    <x v="2"/>
  </r>
  <r>
    <s v="1.11.1.4"/>
    <s v="            Mobile"/>
    <x v="3"/>
    <n v="4"/>
    <s v="1.11.1.3"/>
    <x v="3"/>
  </r>
  <r>
    <s v="1.11.2"/>
    <s v="        US-50: System Consumes ERP Master Data as Read-Only Dropdowns"/>
    <x v="2"/>
    <n v="12"/>
    <s v="1.11.1"/>
    <x v="1"/>
  </r>
  <r>
    <s v="1.11.2.1"/>
    <s v="            Backend API"/>
    <x v="3"/>
    <n v="4"/>
    <s v="1.11.2"/>
    <x v="2"/>
  </r>
  <r>
    <s v="1.11.2.2"/>
    <s v="            Web Front End"/>
    <x v="3"/>
    <n v="4"/>
    <s v="1.11.2.1"/>
    <x v="2"/>
  </r>
  <r>
    <s v="1.11.2.3"/>
    <s v="            Mobile"/>
    <x v="3"/>
    <n v="4"/>
    <s v="1.11.2.2"/>
    <x v="3"/>
  </r>
  <r>
    <s v="1.11.3"/>
    <s v="        US-51: System Maintains a Complete Audit Trail for All Transactions"/>
    <x v="2"/>
    <n v="0"/>
    <s v="1.11.2"/>
    <x v="1"/>
  </r>
  <r>
    <s v="1.11.3.1"/>
    <s v="            Backend API"/>
    <x v="3"/>
    <n v="0"/>
    <s v="1.11.3"/>
    <x v="2"/>
  </r>
  <r>
    <s v="1.11.3.2"/>
    <s v="            Web Front End"/>
    <x v="3"/>
    <n v="0"/>
    <s v="1.11.3.1"/>
    <x v="2"/>
  </r>
  <r>
    <s v="1.11.4"/>
    <s v="        US-52: Admin Generates Statutory Compliance Export"/>
    <x v="2"/>
    <n v="7"/>
    <s v="1.11.3"/>
    <x v="1"/>
  </r>
  <r>
    <s v="1.11.4.1"/>
    <s v="            Backend API"/>
    <x v="3"/>
    <n v="4"/>
    <s v="1.11.4"/>
    <x v="2"/>
  </r>
  <r>
    <s v="1.11.4.2"/>
    <s v="            Web Front End"/>
    <x v="3"/>
    <n v="3"/>
    <s v="1.11.4.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4D5C4B-4E7F-4E97-B539-2FD52AE66F2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6">
    <pivotField showAll="0"/>
    <pivotField showAll="0"/>
    <pivotField axis="axisPage" showAll="0">
      <items count="5">
        <item x="1"/>
        <item x="0"/>
        <item x="3"/>
        <item x="2"/>
        <item t="default"/>
      </items>
    </pivotField>
    <pivotField dataField="1" showAll="0"/>
    <pivotField showAll="0"/>
    <pivotField axis="axisRow" showAll="0">
      <items count="7">
        <item x="1"/>
        <item x="3"/>
        <item x="4"/>
        <item x="5"/>
        <item x="0"/>
        <item x="2"/>
        <item t="default"/>
      </items>
    </pivotField>
  </pivotFields>
  <rowFields count="1">
    <field x="5"/>
  </rowFields>
  <rowItems count="5">
    <i>
      <x v="1"/>
    </i>
    <i>
      <x v="2"/>
    </i>
    <i>
      <x v="3"/>
    </i>
    <i>
      <x v="5"/>
    </i>
    <i t="grand">
      <x/>
    </i>
  </rowItems>
  <colItems count="1">
    <i/>
  </colItems>
  <pageFields count="1">
    <pageField fld="2" item="2" hier="-1"/>
  </pageFields>
  <dataFields count="1">
    <dataField name="Sum of Estimated Hour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B524-91DA-4CB3-9F26-8EC6839E9EA2}">
  <dimension ref="A1:B8"/>
  <sheetViews>
    <sheetView workbookViewId="0">
      <selection activeCell="A3" sqref="A3:B8"/>
    </sheetView>
  </sheetViews>
  <sheetFormatPr defaultRowHeight="15" x14ac:dyDescent="0.25"/>
  <cols>
    <col min="1" max="1" width="13.140625" bestFit="1" customWidth="1"/>
    <col min="2" max="2" width="22.42578125" bestFit="1" customWidth="1"/>
  </cols>
  <sheetData>
    <row r="1" spans="1:2" x14ac:dyDescent="0.25">
      <c r="A1" s="16" t="s">
        <v>2</v>
      </c>
      <c r="B1" t="s">
        <v>16</v>
      </c>
    </row>
    <row r="3" spans="1:2" x14ac:dyDescent="0.25">
      <c r="A3" s="16" t="s">
        <v>296</v>
      </c>
      <c r="B3" t="s">
        <v>298</v>
      </c>
    </row>
    <row r="4" spans="1:2" x14ac:dyDescent="0.25">
      <c r="A4" s="17" t="s">
        <v>24</v>
      </c>
      <c r="B4">
        <v>110</v>
      </c>
    </row>
    <row r="5" spans="1:2" x14ac:dyDescent="0.25">
      <c r="A5" s="17" t="s">
        <v>17</v>
      </c>
      <c r="B5">
        <v>111</v>
      </c>
    </row>
    <row r="6" spans="1:2" x14ac:dyDescent="0.25">
      <c r="A6" s="17" t="s">
        <v>295</v>
      </c>
      <c r="B6">
        <v>100</v>
      </c>
    </row>
    <row r="7" spans="1:2" x14ac:dyDescent="0.25">
      <c r="A7" s="17" t="s">
        <v>299</v>
      </c>
      <c r="B7">
        <v>79</v>
      </c>
    </row>
    <row r="8" spans="1:2" x14ac:dyDescent="0.25">
      <c r="A8" s="17" t="s">
        <v>297</v>
      </c>
      <c r="B8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1"/>
  <sheetViews>
    <sheetView zoomScaleNormal="100" workbookViewId="0">
      <pane ySplit="1" topLeftCell="A2" activePane="bottomLeft" state="frozen"/>
      <selection pane="bottomLeft" activeCell="E5" sqref="E5"/>
    </sheetView>
  </sheetViews>
  <sheetFormatPr defaultColWidth="8.7109375" defaultRowHeight="15" x14ac:dyDescent="0.25"/>
  <cols>
    <col min="1" max="1" width="12" customWidth="1"/>
    <col min="2" max="2" width="86" customWidth="1"/>
    <col min="3" max="3" width="14" customWidth="1"/>
    <col min="4" max="4" width="18" customWidth="1"/>
    <col min="5" max="5" width="16" customWidth="1"/>
  </cols>
  <sheetData>
    <row r="1" spans="1:5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.5" customHeight="1" x14ac:dyDescent="0.25">
      <c r="A2" s="1" t="s">
        <v>5</v>
      </c>
      <c r="B2" s="1" t="s">
        <v>6</v>
      </c>
      <c r="C2" s="1" t="s">
        <v>7</v>
      </c>
      <c r="D2" s="1">
        <f>D3+D24+D58+D75+D93+D115+D133+D153+D175+D193+D196</f>
        <v>400</v>
      </c>
      <c r="E2" s="1"/>
    </row>
    <row r="3" spans="1:5" ht="18" customHeight="1" x14ac:dyDescent="0.25">
      <c r="A3" s="2" t="s">
        <v>8</v>
      </c>
      <c r="B3" s="2" t="s">
        <v>9</v>
      </c>
      <c r="C3" s="2" t="s">
        <v>10</v>
      </c>
      <c r="D3" s="3">
        <f>D4+D9+D14+D19</f>
        <v>48</v>
      </c>
      <c r="E3" s="2"/>
    </row>
    <row r="4" spans="1:5" ht="25.5" customHeight="1" x14ac:dyDescent="0.25">
      <c r="A4" s="4" t="s">
        <v>11</v>
      </c>
      <c r="B4" s="4" t="s">
        <v>12</v>
      </c>
      <c r="C4" s="4" t="s">
        <v>13</v>
      </c>
      <c r="D4" s="5">
        <f>SUM(D5:D8)</f>
        <v>12</v>
      </c>
      <c r="E4" s="4" t="s">
        <v>4</v>
      </c>
    </row>
    <row r="5" spans="1:5" ht="15.75" customHeight="1" x14ac:dyDescent="0.25">
      <c r="A5" s="6" t="s">
        <v>14</v>
      </c>
      <c r="B5" s="7" t="s">
        <v>15</v>
      </c>
      <c r="C5" s="6" t="s">
        <v>16</v>
      </c>
      <c r="D5" s="6">
        <v>2</v>
      </c>
      <c r="E5" s="6" t="s">
        <v>299</v>
      </c>
    </row>
    <row r="6" spans="1:5" ht="15.75" customHeight="1" x14ac:dyDescent="0.25">
      <c r="A6" s="6" t="s">
        <v>18</v>
      </c>
      <c r="B6" s="8" t="s">
        <v>19</v>
      </c>
      <c r="C6" s="6" t="s">
        <v>16</v>
      </c>
      <c r="D6" s="6">
        <v>3</v>
      </c>
      <c r="E6" s="6" t="s">
        <v>299</v>
      </c>
    </row>
    <row r="7" spans="1:5" ht="15.75" customHeight="1" x14ac:dyDescent="0.25">
      <c r="A7" s="6" t="s">
        <v>20</v>
      </c>
      <c r="B7" s="9" t="s">
        <v>21</v>
      </c>
      <c r="C7" s="6" t="s">
        <v>16</v>
      </c>
      <c r="D7" s="6">
        <v>3</v>
      </c>
      <c r="E7" s="6" t="s">
        <v>299</v>
      </c>
    </row>
    <row r="8" spans="1:5" ht="15.75" customHeight="1" x14ac:dyDescent="0.25">
      <c r="A8" s="6" t="s">
        <v>22</v>
      </c>
      <c r="B8" s="10" t="s">
        <v>23</v>
      </c>
      <c r="C8" s="6" t="s">
        <v>16</v>
      </c>
      <c r="D8" s="6">
        <v>4</v>
      </c>
      <c r="E8" s="6" t="s">
        <v>24</v>
      </c>
    </row>
    <row r="9" spans="1:5" ht="25.5" customHeight="1" x14ac:dyDescent="0.25">
      <c r="A9" s="4" t="s">
        <v>25</v>
      </c>
      <c r="B9" s="4" t="s">
        <v>26</v>
      </c>
      <c r="C9" s="4" t="s">
        <v>13</v>
      </c>
      <c r="D9" s="5">
        <f>SUM(D10:D13)</f>
        <v>12</v>
      </c>
      <c r="E9" s="4" t="s">
        <v>4</v>
      </c>
    </row>
    <row r="10" spans="1:5" x14ac:dyDescent="0.25">
      <c r="A10" s="6" t="s">
        <v>14</v>
      </c>
      <c r="B10" s="7" t="s">
        <v>15</v>
      </c>
      <c r="C10" s="6" t="s">
        <v>16</v>
      </c>
      <c r="D10" s="6">
        <v>2</v>
      </c>
      <c r="E10" s="6" t="s">
        <v>299</v>
      </c>
    </row>
    <row r="11" spans="1:5" ht="15.75" customHeight="1" x14ac:dyDescent="0.25">
      <c r="A11" s="6" t="s">
        <v>27</v>
      </c>
      <c r="B11" s="8" t="s">
        <v>19</v>
      </c>
      <c r="C11" s="6" t="s">
        <v>16</v>
      </c>
      <c r="D11" s="6">
        <v>3</v>
      </c>
      <c r="E11" s="6" t="s">
        <v>299</v>
      </c>
    </row>
    <row r="12" spans="1:5" ht="15.75" customHeight="1" x14ac:dyDescent="0.25">
      <c r="A12" s="6" t="s">
        <v>28</v>
      </c>
      <c r="B12" s="9" t="s">
        <v>21</v>
      </c>
      <c r="C12" s="6" t="s">
        <v>16</v>
      </c>
      <c r="D12" s="6">
        <v>3</v>
      </c>
      <c r="E12" s="6" t="s">
        <v>299</v>
      </c>
    </row>
    <row r="13" spans="1:5" ht="15.75" customHeight="1" x14ac:dyDescent="0.25">
      <c r="A13" s="6" t="s">
        <v>29</v>
      </c>
      <c r="B13" s="10" t="s">
        <v>23</v>
      </c>
      <c r="C13" s="6" t="s">
        <v>16</v>
      </c>
      <c r="D13" s="6">
        <v>4</v>
      </c>
      <c r="E13" s="6" t="s">
        <v>24</v>
      </c>
    </row>
    <row r="14" spans="1:5" ht="25.5" customHeight="1" x14ac:dyDescent="0.25">
      <c r="A14" s="4" t="s">
        <v>30</v>
      </c>
      <c r="B14" s="4" t="s">
        <v>31</v>
      </c>
      <c r="C14" s="4" t="s">
        <v>13</v>
      </c>
      <c r="D14" s="5">
        <f>SUM(D15:D18)</f>
        <v>12</v>
      </c>
      <c r="E14" s="4" t="s">
        <v>4</v>
      </c>
    </row>
    <row r="15" spans="1:5" x14ac:dyDescent="0.25">
      <c r="A15" s="6" t="s">
        <v>14</v>
      </c>
      <c r="B15" s="7" t="s">
        <v>15</v>
      </c>
      <c r="C15" s="6" t="s">
        <v>16</v>
      </c>
      <c r="D15" s="6">
        <v>2</v>
      </c>
      <c r="E15" s="6" t="s">
        <v>299</v>
      </c>
    </row>
    <row r="16" spans="1:5" ht="15.75" customHeight="1" x14ac:dyDescent="0.25">
      <c r="A16" s="6" t="s">
        <v>32</v>
      </c>
      <c r="B16" s="8" t="s">
        <v>19</v>
      </c>
      <c r="C16" s="6" t="s">
        <v>16</v>
      </c>
      <c r="D16" s="6">
        <v>3</v>
      </c>
      <c r="E16" s="6" t="s">
        <v>299</v>
      </c>
    </row>
    <row r="17" spans="1:5" ht="15.75" customHeight="1" x14ac:dyDescent="0.25">
      <c r="A17" s="6" t="s">
        <v>33</v>
      </c>
      <c r="B17" s="9" t="s">
        <v>21</v>
      </c>
      <c r="C17" s="6" t="s">
        <v>16</v>
      </c>
      <c r="D17" s="6">
        <v>3</v>
      </c>
      <c r="E17" s="6" t="s">
        <v>299</v>
      </c>
    </row>
    <row r="18" spans="1:5" ht="15.75" customHeight="1" x14ac:dyDescent="0.25">
      <c r="A18" s="6" t="s">
        <v>34</v>
      </c>
      <c r="B18" s="10" t="s">
        <v>23</v>
      </c>
      <c r="C18" s="6" t="s">
        <v>16</v>
      </c>
      <c r="D18" s="6">
        <v>4</v>
      </c>
      <c r="E18" s="6" t="s">
        <v>24</v>
      </c>
    </row>
    <row r="19" spans="1:5" ht="25.5" customHeight="1" x14ac:dyDescent="0.25">
      <c r="A19" s="4" t="s">
        <v>35</v>
      </c>
      <c r="B19" s="4" t="s">
        <v>36</v>
      </c>
      <c r="C19" s="4" t="s">
        <v>13</v>
      </c>
      <c r="D19" s="5">
        <f>SUM(D20:D23)</f>
        <v>12</v>
      </c>
      <c r="E19" s="4" t="s">
        <v>4</v>
      </c>
    </row>
    <row r="20" spans="1:5" x14ac:dyDescent="0.25">
      <c r="A20" s="6" t="s">
        <v>14</v>
      </c>
      <c r="B20" s="7" t="s">
        <v>15</v>
      </c>
      <c r="C20" s="6" t="s">
        <v>16</v>
      </c>
      <c r="D20" s="6">
        <v>2</v>
      </c>
      <c r="E20" s="6" t="s">
        <v>299</v>
      </c>
    </row>
    <row r="21" spans="1:5" ht="15.75" customHeight="1" x14ac:dyDescent="0.25">
      <c r="A21" s="6" t="s">
        <v>37</v>
      </c>
      <c r="B21" s="8" t="s">
        <v>19</v>
      </c>
      <c r="C21" s="6" t="s">
        <v>16</v>
      </c>
      <c r="D21" s="6">
        <v>3</v>
      </c>
      <c r="E21" s="6" t="s">
        <v>299</v>
      </c>
    </row>
    <row r="22" spans="1:5" ht="15.75" customHeight="1" x14ac:dyDescent="0.25">
      <c r="A22" s="6" t="s">
        <v>38</v>
      </c>
      <c r="B22" s="9" t="s">
        <v>21</v>
      </c>
      <c r="C22" s="6" t="s">
        <v>16</v>
      </c>
      <c r="D22" s="6">
        <v>3</v>
      </c>
      <c r="E22" s="6" t="s">
        <v>299</v>
      </c>
    </row>
    <row r="23" spans="1:5" ht="15.75" customHeight="1" x14ac:dyDescent="0.25">
      <c r="A23" s="6" t="s">
        <v>39</v>
      </c>
      <c r="B23" s="10" t="s">
        <v>23</v>
      </c>
      <c r="C23" s="6" t="s">
        <v>16</v>
      </c>
      <c r="D23" s="6">
        <v>4</v>
      </c>
      <c r="E23" s="6" t="s">
        <v>24</v>
      </c>
    </row>
    <row r="24" spans="1:5" ht="18" customHeight="1" x14ac:dyDescent="0.25">
      <c r="A24" s="2" t="s">
        <v>40</v>
      </c>
      <c r="B24" s="2" t="s">
        <v>41</v>
      </c>
      <c r="C24" s="2" t="s">
        <v>10</v>
      </c>
      <c r="D24" s="3">
        <f>D25+D30+D34+D38+D42+D46+D50+D54</f>
        <v>53</v>
      </c>
      <c r="E24" s="2"/>
    </row>
    <row r="25" spans="1:5" ht="25.5" customHeight="1" x14ac:dyDescent="0.25">
      <c r="A25" s="4" t="s">
        <v>42</v>
      </c>
      <c r="B25" s="4" t="s">
        <v>43</v>
      </c>
      <c r="C25" s="4" t="s">
        <v>13</v>
      </c>
      <c r="D25" s="5">
        <f>SUM(D26:D29)</f>
        <v>14</v>
      </c>
      <c r="E25" s="4" t="s">
        <v>4</v>
      </c>
    </row>
    <row r="26" spans="1:5" ht="15.75" customHeight="1" x14ac:dyDescent="0.25">
      <c r="A26" s="6" t="s">
        <v>44</v>
      </c>
      <c r="B26" s="7" t="s">
        <v>15</v>
      </c>
      <c r="C26" s="6" t="s">
        <v>16</v>
      </c>
      <c r="D26" s="6">
        <v>2</v>
      </c>
      <c r="E26" s="6" t="s">
        <v>299</v>
      </c>
    </row>
    <row r="27" spans="1:5" ht="15.75" customHeight="1" x14ac:dyDescent="0.25">
      <c r="A27" s="6" t="s">
        <v>45</v>
      </c>
      <c r="B27" s="8" t="s">
        <v>19</v>
      </c>
      <c r="C27" s="6" t="s">
        <v>16</v>
      </c>
      <c r="D27" s="6">
        <v>4</v>
      </c>
      <c r="E27" s="6" t="s">
        <v>17</v>
      </c>
    </row>
    <row r="28" spans="1:5" ht="15.75" customHeight="1" x14ac:dyDescent="0.25">
      <c r="A28" s="6" t="s">
        <v>46</v>
      </c>
      <c r="B28" s="9" t="s">
        <v>21</v>
      </c>
      <c r="C28" s="6" t="s">
        <v>16</v>
      </c>
      <c r="D28" s="6">
        <v>4</v>
      </c>
      <c r="E28" s="6" t="s">
        <v>295</v>
      </c>
    </row>
    <row r="29" spans="1:5" ht="15.75" customHeight="1" x14ac:dyDescent="0.25">
      <c r="A29" s="6" t="s">
        <v>47</v>
      </c>
      <c r="B29" s="10" t="s">
        <v>23</v>
      </c>
      <c r="C29" s="6" t="s">
        <v>16</v>
      </c>
      <c r="D29" s="6">
        <v>4</v>
      </c>
      <c r="E29" s="6" t="s">
        <v>24</v>
      </c>
    </row>
    <row r="30" spans="1:5" ht="25.5" customHeight="1" x14ac:dyDescent="0.25">
      <c r="A30" s="4" t="s">
        <v>48</v>
      </c>
      <c r="B30" s="4" t="s">
        <v>49</v>
      </c>
      <c r="C30" s="4" t="s">
        <v>13</v>
      </c>
      <c r="D30" s="5">
        <f>SUM(D31:D33)</f>
        <v>4</v>
      </c>
      <c r="E30" s="4" t="s">
        <v>4</v>
      </c>
    </row>
    <row r="31" spans="1:5" ht="15.75" customHeight="1" x14ac:dyDescent="0.25">
      <c r="A31" s="6" t="s">
        <v>50</v>
      </c>
      <c r="B31" s="8" t="s">
        <v>19</v>
      </c>
      <c r="C31" s="6" t="s">
        <v>16</v>
      </c>
      <c r="D31" s="6">
        <v>2</v>
      </c>
      <c r="E31" s="6" t="s">
        <v>17</v>
      </c>
    </row>
    <row r="32" spans="1:5" ht="15.75" customHeight="1" x14ac:dyDescent="0.25">
      <c r="A32" s="6" t="s">
        <v>51</v>
      </c>
      <c r="B32" s="9" t="s">
        <v>21</v>
      </c>
      <c r="C32" s="6" t="s">
        <v>16</v>
      </c>
      <c r="D32" s="6">
        <v>1</v>
      </c>
      <c r="E32" s="6" t="s">
        <v>295</v>
      </c>
    </row>
    <row r="33" spans="1:5" ht="15.75" customHeight="1" x14ac:dyDescent="0.25">
      <c r="A33" s="6" t="s">
        <v>52</v>
      </c>
      <c r="B33" s="10" t="s">
        <v>23</v>
      </c>
      <c r="C33" s="6" t="s">
        <v>16</v>
      </c>
      <c r="D33" s="6">
        <v>1</v>
      </c>
      <c r="E33" s="6" t="s">
        <v>24</v>
      </c>
    </row>
    <row r="34" spans="1:5" ht="25.5" customHeight="1" x14ac:dyDescent="0.25">
      <c r="A34" s="4" t="s">
        <v>53</v>
      </c>
      <c r="B34" s="4" t="s">
        <v>54</v>
      </c>
      <c r="C34" s="4" t="s">
        <v>13</v>
      </c>
      <c r="D34" s="5">
        <f>SUM(D35:D37)</f>
        <v>4</v>
      </c>
      <c r="E34" s="4" t="s">
        <v>4</v>
      </c>
    </row>
    <row r="35" spans="1:5" ht="15.75" customHeight="1" x14ac:dyDescent="0.25">
      <c r="A35" s="6" t="s">
        <v>55</v>
      </c>
      <c r="B35" s="8" t="s">
        <v>19</v>
      </c>
      <c r="C35" s="6" t="s">
        <v>16</v>
      </c>
      <c r="D35" s="6">
        <v>2</v>
      </c>
      <c r="E35" s="6" t="s">
        <v>17</v>
      </c>
    </row>
    <row r="36" spans="1:5" ht="15.75" customHeight="1" x14ac:dyDescent="0.25">
      <c r="A36" s="6" t="s">
        <v>56</v>
      </c>
      <c r="B36" s="9" t="s">
        <v>21</v>
      </c>
      <c r="C36" s="6" t="s">
        <v>16</v>
      </c>
      <c r="D36" s="6">
        <v>1</v>
      </c>
      <c r="E36" s="6" t="s">
        <v>295</v>
      </c>
    </row>
    <row r="37" spans="1:5" ht="15.75" customHeight="1" x14ac:dyDescent="0.25">
      <c r="A37" s="6" t="s">
        <v>57</v>
      </c>
      <c r="B37" s="10" t="s">
        <v>23</v>
      </c>
      <c r="C37" s="6" t="s">
        <v>16</v>
      </c>
      <c r="D37" s="6">
        <v>1</v>
      </c>
      <c r="E37" s="6" t="s">
        <v>24</v>
      </c>
    </row>
    <row r="38" spans="1:5" ht="25.5" customHeight="1" x14ac:dyDescent="0.25">
      <c r="A38" s="4" t="s">
        <v>58</v>
      </c>
      <c r="B38" s="4" t="s">
        <v>59</v>
      </c>
      <c r="C38" s="4" t="s">
        <v>13</v>
      </c>
      <c r="D38" s="5">
        <f>SUM(D39:D41)</f>
        <v>4</v>
      </c>
      <c r="E38" s="4" t="s">
        <v>4</v>
      </c>
    </row>
    <row r="39" spans="1:5" ht="15.75" customHeight="1" x14ac:dyDescent="0.25">
      <c r="A39" s="6" t="s">
        <v>60</v>
      </c>
      <c r="B39" s="8" t="s">
        <v>19</v>
      </c>
      <c r="C39" s="6" t="s">
        <v>16</v>
      </c>
      <c r="D39" s="6">
        <v>2</v>
      </c>
      <c r="E39" s="6" t="s">
        <v>17</v>
      </c>
    </row>
    <row r="40" spans="1:5" ht="15.75" customHeight="1" x14ac:dyDescent="0.25">
      <c r="A40" s="6" t="s">
        <v>61</v>
      </c>
      <c r="B40" s="9" t="s">
        <v>21</v>
      </c>
      <c r="C40" s="6" t="s">
        <v>16</v>
      </c>
      <c r="D40" s="6">
        <v>1</v>
      </c>
      <c r="E40" s="6" t="s">
        <v>295</v>
      </c>
    </row>
    <row r="41" spans="1:5" ht="15.75" customHeight="1" x14ac:dyDescent="0.25">
      <c r="A41" s="6" t="s">
        <v>62</v>
      </c>
      <c r="B41" s="10" t="s">
        <v>23</v>
      </c>
      <c r="C41" s="6" t="s">
        <v>16</v>
      </c>
      <c r="D41" s="6">
        <v>1</v>
      </c>
      <c r="E41" s="6" t="s">
        <v>24</v>
      </c>
    </row>
    <row r="42" spans="1:5" ht="25.5" customHeight="1" x14ac:dyDescent="0.25">
      <c r="A42" s="4" t="s">
        <v>63</v>
      </c>
      <c r="B42" s="4" t="s">
        <v>64</v>
      </c>
      <c r="C42" s="4" t="s">
        <v>13</v>
      </c>
      <c r="D42" s="5">
        <f>SUM(D43:D45)</f>
        <v>4</v>
      </c>
      <c r="E42" s="4" t="s">
        <v>4</v>
      </c>
    </row>
    <row r="43" spans="1:5" ht="15.75" customHeight="1" x14ac:dyDescent="0.25">
      <c r="A43" s="6" t="s">
        <v>65</v>
      </c>
      <c r="B43" s="8" t="s">
        <v>19</v>
      </c>
      <c r="C43" s="6" t="s">
        <v>16</v>
      </c>
      <c r="D43" s="6">
        <v>2</v>
      </c>
      <c r="E43" s="6" t="s">
        <v>17</v>
      </c>
    </row>
    <row r="44" spans="1:5" ht="15.75" customHeight="1" x14ac:dyDescent="0.25">
      <c r="A44" s="6" t="s">
        <v>66</v>
      </c>
      <c r="B44" s="9" t="s">
        <v>21</v>
      </c>
      <c r="C44" s="6" t="s">
        <v>16</v>
      </c>
      <c r="D44" s="6">
        <v>1</v>
      </c>
      <c r="E44" s="6" t="s">
        <v>295</v>
      </c>
    </row>
    <row r="45" spans="1:5" ht="15.75" customHeight="1" x14ac:dyDescent="0.25">
      <c r="A45" s="6" t="s">
        <v>67</v>
      </c>
      <c r="B45" s="10" t="s">
        <v>23</v>
      </c>
      <c r="C45" s="6" t="s">
        <v>16</v>
      </c>
      <c r="D45" s="6">
        <v>1</v>
      </c>
      <c r="E45" s="6" t="s">
        <v>24</v>
      </c>
    </row>
    <row r="46" spans="1:5" ht="25.5" customHeight="1" x14ac:dyDescent="0.25">
      <c r="A46" s="4" t="s">
        <v>68</v>
      </c>
      <c r="B46" s="4" t="s">
        <v>69</v>
      </c>
      <c r="C46" s="4" t="s">
        <v>13</v>
      </c>
      <c r="D46" s="5">
        <f>SUM(D47:D49)</f>
        <v>8</v>
      </c>
      <c r="E46" s="4" t="s">
        <v>4</v>
      </c>
    </row>
    <row r="47" spans="1:5" ht="15.75" customHeight="1" x14ac:dyDescent="0.25">
      <c r="A47" s="6" t="s">
        <v>70</v>
      </c>
      <c r="B47" s="8" t="s">
        <v>19</v>
      </c>
      <c r="C47" s="6" t="s">
        <v>16</v>
      </c>
      <c r="D47" s="6">
        <v>2</v>
      </c>
      <c r="E47" s="6" t="s">
        <v>17</v>
      </c>
    </row>
    <row r="48" spans="1:5" ht="15.75" customHeight="1" x14ac:dyDescent="0.25">
      <c r="A48" s="6" t="s">
        <v>71</v>
      </c>
      <c r="B48" s="9" t="s">
        <v>21</v>
      </c>
      <c r="C48" s="6" t="s">
        <v>16</v>
      </c>
      <c r="D48" s="6">
        <v>3</v>
      </c>
      <c r="E48" s="6" t="s">
        <v>295</v>
      </c>
    </row>
    <row r="49" spans="1:5" ht="15.75" customHeight="1" x14ac:dyDescent="0.25">
      <c r="A49" s="6" t="s">
        <v>72</v>
      </c>
      <c r="B49" s="10" t="s">
        <v>23</v>
      </c>
      <c r="C49" s="6" t="s">
        <v>16</v>
      </c>
      <c r="D49" s="6">
        <v>3</v>
      </c>
      <c r="E49" s="6" t="s">
        <v>24</v>
      </c>
    </row>
    <row r="50" spans="1:5" ht="25.5" customHeight="1" x14ac:dyDescent="0.25">
      <c r="A50" s="4" t="s">
        <v>73</v>
      </c>
      <c r="B50" s="4" t="s">
        <v>74</v>
      </c>
      <c r="C50" s="4" t="s">
        <v>13</v>
      </c>
      <c r="D50" s="5">
        <f>SUM(D51:D53)</f>
        <v>8</v>
      </c>
      <c r="E50" s="4" t="s">
        <v>4</v>
      </c>
    </row>
    <row r="51" spans="1:5" ht="15.75" customHeight="1" x14ac:dyDescent="0.25">
      <c r="A51" s="6" t="s">
        <v>75</v>
      </c>
      <c r="B51" s="8" t="s">
        <v>19</v>
      </c>
      <c r="C51" s="6" t="s">
        <v>16</v>
      </c>
      <c r="D51" s="6">
        <v>2</v>
      </c>
      <c r="E51" s="6" t="s">
        <v>17</v>
      </c>
    </row>
    <row r="52" spans="1:5" ht="15.75" customHeight="1" x14ac:dyDescent="0.25">
      <c r="A52" s="6" t="s">
        <v>76</v>
      </c>
      <c r="B52" s="9" t="s">
        <v>21</v>
      </c>
      <c r="C52" s="6" t="s">
        <v>16</v>
      </c>
      <c r="D52" s="6">
        <v>3</v>
      </c>
      <c r="E52" s="6" t="s">
        <v>295</v>
      </c>
    </row>
    <row r="53" spans="1:5" ht="15.75" customHeight="1" x14ac:dyDescent="0.25">
      <c r="A53" s="6" t="s">
        <v>77</v>
      </c>
      <c r="B53" s="10" t="s">
        <v>23</v>
      </c>
      <c r="C53" s="6" t="s">
        <v>16</v>
      </c>
      <c r="D53" s="6">
        <v>3</v>
      </c>
      <c r="E53" s="6" t="s">
        <v>24</v>
      </c>
    </row>
    <row r="54" spans="1:5" ht="25.5" customHeight="1" x14ac:dyDescent="0.25">
      <c r="A54" s="4" t="s">
        <v>78</v>
      </c>
      <c r="B54" s="4" t="s">
        <v>79</v>
      </c>
      <c r="C54" s="4" t="s">
        <v>13</v>
      </c>
      <c r="D54" s="5">
        <f>SUM(D55:D57)</f>
        <v>7</v>
      </c>
      <c r="E54" s="4" t="s">
        <v>4</v>
      </c>
    </row>
    <row r="55" spans="1:5" ht="15.75" customHeight="1" x14ac:dyDescent="0.25">
      <c r="A55" s="6" t="s">
        <v>80</v>
      </c>
      <c r="B55" s="8" t="s">
        <v>19</v>
      </c>
      <c r="C55" s="6" t="s">
        <v>16</v>
      </c>
      <c r="D55" s="6">
        <v>3</v>
      </c>
      <c r="E55" s="6" t="s">
        <v>17</v>
      </c>
    </row>
    <row r="56" spans="1:5" ht="15.75" customHeight="1" x14ac:dyDescent="0.25">
      <c r="A56" s="6" t="s">
        <v>81</v>
      </c>
      <c r="B56" s="9" t="s">
        <v>21</v>
      </c>
      <c r="C56" s="6" t="s">
        <v>16</v>
      </c>
      <c r="D56" s="6">
        <v>2</v>
      </c>
      <c r="E56" s="6" t="s">
        <v>295</v>
      </c>
    </row>
    <row r="57" spans="1:5" ht="15.75" customHeight="1" x14ac:dyDescent="0.25">
      <c r="A57" s="6" t="s">
        <v>82</v>
      </c>
      <c r="B57" s="10" t="s">
        <v>23</v>
      </c>
      <c r="C57" s="6" t="s">
        <v>16</v>
      </c>
      <c r="D57" s="6">
        <v>2</v>
      </c>
      <c r="E57" s="6" t="s">
        <v>24</v>
      </c>
    </row>
    <row r="58" spans="1:5" ht="18" customHeight="1" x14ac:dyDescent="0.25">
      <c r="A58" s="2" t="s">
        <v>83</v>
      </c>
      <c r="B58" s="2" t="s">
        <v>84</v>
      </c>
      <c r="C58" s="2" t="s">
        <v>10</v>
      </c>
      <c r="D58" s="3">
        <f>D59+D63+D67+D71</f>
        <v>22</v>
      </c>
      <c r="E58" s="2"/>
    </row>
    <row r="59" spans="1:5" ht="25.5" customHeight="1" x14ac:dyDescent="0.25">
      <c r="A59" s="4" t="s">
        <v>85</v>
      </c>
      <c r="B59" s="4" t="s">
        <v>86</v>
      </c>
      <c r="C59" s="4" t="s">
        <v>13</v>
      </c>
      <c r="D59" s="5">
        <f>SUM(D60:D62)</f>
        <v>6</v>
      </c>
      <c r="E59" s="4" t="s">
        <v>4</v>
      </c>
    </row>
    <row r="60" spans="1:5" ht="15.75" customHeight="1" x14ac:dyDescent="0.25">
      <c r="A60" s="6" t="s">
        <v>87</v>
      </c>
      <c r="B60" s="8" t="s">
        <v>19</v>
      </c>
      <c r="C60" s="6" t="s">
        <v>16</v>
      </c>
      <c r="D60" s="6">
        <v>2</v>
      </c>
      <c r="E60" s="6" t="s">
        <v>17</v>
      </c>
    </row>
    <row r="61" spans="1:5" ht="15.75" customHeight="1" x14ac:dyDescent="0.25">
      <c r="A61" s="6" t="s">
        <v>88</v>
      </c>
      <c r="B61" s="9" t="s">
        <v>21</v>
      </c>
      <c r="C61" s="6" t="s">
        <v>16</v>
      </c>
      <c r="D61" s="6">
        <v>2</v>
      </c>
      <c r="E61" s="6" t="s">
        <v>295</v>
      </c>
    </row>
    <row r="62" spans="1:5" ht="15.75" customHeight="1" x14ac:dyDescent="0.25">
      <c r="A62" s="6" t="s">
        <v>89</v>
      </c>
      <c r="B62" s="10" t="s">
        <v>23</v>
      </c>
      <c r="C62" s="6" t="s">
        <v>16</v>
      </c>
      <c r="D62" s="6">
        <v>2</v>
      </c>
      <c r="E62" s="6" t="s">
        <v>24</v>
      </c>
    </row>
    <row r="63" spans="1:5" ht="25.5" customHeight="1" x14ac:dyDescent="0.25">
      <c r="A63" s="4" t="s">
        <v>90</v>
      </c>
      <c r="B63" s="4" t="s">
        <v>91</v>
      </c>
      <c r="C63" s="4" t="s">
        <v>13</v>
      </c>
      <c r="D63" s="5">
        <f>SUM(D64:D66)</f>
        <v>4</v>
      </c>
      <c r="E63" s="4" t="s">
        <v>4</v>
      </c>
    </row>
    <row r="64" spans="1:5" x14ac:dyDescent="0.25">
      <c r="A64" s="6" t="s">
        <v>96</v>
      </c>
      <c r="B64" s="8" t="s">
        <v>19</v>
      </c>
      <c r="C64" s="6" t="s">
        <v>16</v>
      </c>
      <c r="D64" s="6">
        <v>0</v>
      </c>
      <c r="E64" s="6" t="s">
        <v>17</v>
      </c>
    </row>
    <row r="65" spans="1:5" ht="15.75" customHeight="1" x14ac:dyDescent="0.25">
      <c r="A65" s="6" t="s">
        <v>92</v>
      </c>
      <c r="B65" s="9" t="s">
        <v>21</v>
      </c>
      <c r="C65" s="6" t="s">
        <v>16</v>
      </c>
      <c r="D65" s="6">
        <v>2</v>
      </c>
      <c r="E65" s="6" t="s">
        <v>295</v>
      </c>
    </row>
    <row r="66" spans="1:5" ht="15.75" customHeight="1" x14ac:dyDescent="0.25">
      <c r="A66" s="6" t="s">
        <v>93</v>
      </c>
      <c r="B66" s="10" t="s">
        <v>23</v>
      </c>
      <c r="C66" s="6" t="s">
        <v>16</v>
      </c>
      <c r="D66" s="6">
        <v>2</v>
      </c>
      <c r="E66" s="6" t="s">
        <v>24</v>
      </c>
    </row>
    <row r="67" spans="1:5" ht="25.5" customHeight="1" x14ac:dyDescent="0.25">
      <c r="A67" s="4" t="s">
        <v>94</v>
      </c>
      <c r="B67" s="4" t="s">
        <v>95</v>
      </c>
      <c r="C67" s="4" t="s">
        <v>13</v>
      </c>
      <c r="D67" s="5">
        <f>SUM(D68:D70)</f>
        <v>6</v>
      </c>
      <c r="E67" s="4" t="s">
        <v>4</v>
      </c>
    </row>
    <row r="68" spans="1:5" ht="15.75" customHeight="1" x14ac:dyDescent="0.25">
      <c r="A68" s="6" t="s">
        <v>96</v>
      </c>
      <c r="B68" s="8" t="s">
        <v>19</v>
      </c>
      <c r="C68" s="6" t="s">
        <v>16</v>
      </c>
      <c r="D68" s="6">
        <v>2</v>
      </c>
      <c r="E68" s="6" t="s">
        <v>17</v>
      </c>
    </row>
    <row r="69" spans="1:5" ht="15.75" customHeight="1" x14ac:dyDescent="0.25">
      <c r="A69" s="6" t="s">
        <v>97</v>
      </c>
      <c r="B69" s="9" t="s">
        <v>21</v>
      </c>
      <c r="C69" s="6" t="s">
        <v>16</v>
      </c>
      <c r="D69" s="6">
        <v>2</v>
      </c>
      <c r="E69" s="6" t="s">
        <v>295</v>
      </c>
    </row>
    <row r="70" spans="1:5" ht="15.75" customHeight="1" x14ac:dyDescent="0.25">
      <c r="A70" s="6" t="s">
        <v>98</v>
      </c>
      <c r="B70" s="10" t="s">
        <v>23</v>
      </c>
      <c r="C70" s="6" t="s">
        <v>16</v>
      </c>
      <c r="D70" s="6">
        <v>2</v>
      </c>
      <c r="E70" s="6" t="s">
        <v>24</v>
      </c>
    </row>
    <row r="71" spans="1:5" ht="25.5" customHeight="1" x14ac:dyDescent="0.25">
      <c r="A71" s="4" t="s">
        <v>99</v>
      </c>
      <c r="B71" s="4" t="s">
        <v>100</v>
      </c>
      <c r="C71" s="4" t="s">
        <v>13</v>
      </c>
      <c r="D71" s="5">
        <f>SUM(D72:D74)</f>
        <v>6</v>
      </c>
      <c r="E71" s="4" t="s">
        <v>4</v>
      </c>
    </row>
    <row r="72" spans="1:5" ht="15.75" customHeight="1" x14ac:dyDescent="0.25">
      <c r="A72" s="6" t="s">
        <v>101</v>
      </c>
      <c r="B72" s="8" t="s">
        <v>19</v>
      </c>
      <c r="C72" s="6" t="s">
        <v>16</v>
      </c>
      <c r="D72" s="6">
        <v>2</v>
      </c>
      <c r="E72" s="6" t="s">
        <v>17</v>
      </c>
    </row>
    <row r="73" spans="1:5" ht="15.75" customHeight="1" x14ac:dyDescent="0.25">
      <c r="A73" s="6" t="s">
        <v>102</v>
      </c>
      <c r="B73" s="9" t="s">
        <v>21</v>
      </c>
      <c r="C73" s="6" t="s">
        <v>16</v>
      </c>
      <c r="D73" s="6">
        <v>2</v>
      </c>
      <c r="E73" s="6" t="s">
        <v>295</v>
      </c>
    </row>
    <row r="74" spans="1:5" ht="15.75" customHeight="1" x14ac:dyDescent="0.25">
      <c r="A74" s="6" t="s">
        <v>103</v>
      </c>
      <c r="B74" s="10" t="s">
        <v>23</v>
      </c>
      <c r="C74" s="6" t="s">
        <v>16</v>
      </c>
      <c r="D74" s="6">
        <v>2</v>
      </c>
      <c r="E74" s="6" t="s">
        <v>24</v>
      </c>
    </row>
    <row r="75" spans="1:5" ht="18" customHeight="1" x14ac:dyDescent="0.25">
      <c r="A75" s="2" t="s">
        <v>104</v>
      </c>
      <c r="B75" s="2" t="s">
        <v>105</v>
      </c>
      <c r="C75" s="2" t="s">
        <v>10</v>
      </c>
      <c r="D75" s="3">
        <f>D76+D81+D85+D89</f>
        <v>26</v>
      </c>
      <c r="E75" s="2"/>
    </row>
    <row r="76" spans="1:5" ht="25.5" customHeight="1" x14ac:dyDescent="0.25">
      <c r="A76" s="4" t="s">
        <v>106</v>
      </c>
      <c r="B76" s="4" t="s">
        <v>107</v>
      </c>
      <c r="C76" s="4" t="s">
        <v>13</v>
      </c>
      <c r="D76" s="5">
        <f>SUM(D77:D80)</f>
        <v>10</v>
      </c>
      <c r="E76" s="4" t="s">
        <v>4</v>
      </c>
    </row>
    <row r="77" spans="1:5" ht="15.75" customHeight="1" x14ac:dyDescent="0.25">
      <c r="A77" s="6" t="s">
        <v>108</v>
      </c>
      <c r="B77" s="7" t="s">
        <v>15</v>
      </c>
      <c r="C77" s="6" t="s">
        <v>16</v>
      </c>
      <c r="D77" s="6">
        <v>4</v>
      </c>
      <c r="E77" s="6" t="s">
        <v>299</v>
      </c>
    </row>
    <row r="78" spans="1:5" ht="15.75" customHeight="1" x14ac:dyDescent="0.25">
      <c r="A78" s="6" t="s">
        <v>109</v>
      </c>
      <c r="B78" s="8" t="s">
        <v>19</v>
      </c>
      <c r="C78" s="6" t="s">
        <v>16</v>
      </c>
      <c r="D78" s="6">
        <v>2</v>
      </c>
      <c r="E78" s="6" t="s">
        <v>17</v>
      </c>
    </row>
    <row r="79" spans="1:5" ht="15.75" customHeight="1" x14ac:dyDescent="0.25">
      <c r="A79" s="6" t="s">
        <v>110</v>
      </c>
      <c r="B79" s="9" t="s">
        <v>21</v>
      </c>
      <c r="C79" s="6" t="s">
        <v>16</v>
      </c>
      <c r="D79" s="6">
        <v>2</v>
      </c>
      <c r="E79" s="6" t="s">
        <v>295</v>
      </c>
    </row>
    <row r="80" spans="1:5" ht="15.75" customHeight="1" x14ac:dyDescent="0.25">
      <c r="A80" s="6" t="s">
        <v>111</v>
      </c>
      <c r="B80" s="10" t="s">
        <v>23</v>
      </c>
      <c r="C80" s="6" t="s">
        <v>16</v>
      </c>
      <c r="D80" s="6">
        <v>2</v>
      </c>
      <c r="E80" s="6" t="s">
        <v>24</v>
      </c>
    </row>
    <row r="81" spans="1:5" ht="25.5" customHeight="1" x14ac:dyDescent="0.25">
      <c r="A81" s="4" t="s">
        <v>112</v>
      </c>
      <c r="B81" s="4" t="s">
        <v>113</v>
      </c>
      <c r="C81" s="4" t="s">
        <v>13</v>
      </c>
      <c r="D81" s="5">
        <f>SUM(D82:D84)</f>
        <v>6</v>
      </c>
      <c r="E81" s="4" t="s">
        <v>4</v>
      </c>
    </row>
    <row r="82" spans="1:5" ht="15.75" customHeight="1" x14ac:dyDescent="0.25">
      <c r="A82" s="6" t="s">
        <v>114</v>
      </c>
      <c r="B82" s="8" t="s">
        <v>19</v>
      </c>
      <c r="C82" s="6" t="s">
        <v>16</v>
      </c>
      <c r="D82" s="6">
        <v>4</v>
      </c>
      <c r="E82" s="6" t="s">
        <v>17</v>
      </c>
    </row>
    <row r="83" spans="1:5" ht="15.75" customHeight="1" x14ac:dyDescent="0.25">
      <c r="A83" s="6" t="s">
        <v>115</v>
      </c>
      <c r="B83" s="9" t="s">
        <v>21</v>
      </c>
      <c r="C83" s="6" t="s">
        <v>16</v>
      </c>
      <c r="D83" s="6">
        <v>1</v>
      </c>
      <c r="E83" s="6" t="s">
        <v>295</v>
      </c>
    </row>
    <row r="84" spans="1:5" ht="15.75" customHeight="1" x14ac:dyDescent="0.25">
      <c r="A84" s="6" t="s">
        <v>116</v>
      </c>
      <c r="B84" s="10" t="s">
        <v>23</v>
      </c>
      <c r="C84" s="6" t="s">
        <v>16</v>
      </c>
      <c r="D84" s="6">
        <v>1</v>
      </c>
      <c r="E84" s="6" t="s">
        <v>24</v>
      </c>
    </row>
    <row r="85" spans="1:5" ht="25.5" customHeight="1" x14ac:dyDescent="0.25">
      <c r="A85" s="4" t="s">
        <v>117</v>
      </c>
      <c r="B85" s="4" t="s">
        <v>118</v>
      </c>
      <c r="C85" s="4" t="s">
        <v>13</v>
      </c>
      <c r="D85" s="5">
        <f>SUM(D86:D88)</f>
        <v>10</v>
      </c>
      <c r="E85" s="4" t="s">
        <v>4</v>
      </c>
    </row>
    <row r="86" spans="1:5" ht="15.75" customHeight="1" x14ac:dyDescent="0.25">
      <c r="A86" s="6" t="s">
        <v>119</v>
      </c>
      <c r="B86" s="8" t="s">
        <v>19</v>
      </c>
      <c r="C86" s="6" t="s">
        <v>16</v>
      </c>
      <c r="D86" s="6">
        <v>3</v>
      </c>
      <c r="E86" s="6" t="s">
        <v>17</v>
      </c>
    </row>
    <row r="87" spans="1:5" ht="15.75" customHeight="1" x14ac:dyDescent="0.25">
      <c r="A87" s="6" t="s">
        <v>120</v>
      </c>
      <c r="B87" s="9" t="s">
        <v>21</v>
      </c>
      <c r="C87" s="6" t="s">
        <v>16</v>
      </c>
      <c r="D87" s="6">
        <v>3</v>
      </c>
      <c r="E87" s="6" t="s">
        <v>295</v>
      </c>
    </row>
    <row r="88" spans="1:5" ht="15.75" customHeight="1" x14ac:dyDescent="0.25">
      <c r="A88" s="6" t="s">
        <v>121</v>
      </c>
      <c r="B88" s="10" t="s">
        <v>23</v>
      </c>
      <c r="C88" s="6" t="s">
        <v>16</v>
      </c>
      <c r="D88" s="6">
        <v>4</v>
      </c>
      <c r="E88" s="6" t="s">
        <v>24</v>
      </c>
    </row>
    <row r="89" spans="1:5" ht="25.5" customHeight="1" x14ac:dyDescent="0.25">
      <c r="A89" s="4" t="s">
        <v>122</v>
      </c>
      <c r="B89" s="4" t="s">
        <v>123</v>
      </c>
      <c r="C89" s="4" t="s">
        <v>13</v>
      </c>
      <c r="D89" s="5">
        <f>SUM(D90:D92)</f>
        <v>0</v>
      </c>
      <c r="E89" s="4" t="s">
        <v>4</v>
      </c>
    </row>
    <row r="90" spans="1:5" ht="15.75" customHeight="1" x14ac:dyDescent="0.25">
      <c r="A90" s="6" t="s">
        <v>124</v>
      </c>
      <c r="B90" s="8" t="s">
        <v>19</v>
      </c>
      <c r="C90" s="6" t="s">
        <v>16</v>
      </c>
      <c r="D90" s="6">
        <v>0</v>
      </c>
      <c r="E90" s="6" t="s">
        <v>17</v>
      </c>
    </row>
    <row r="91" spans="1:5" ht="15.75" customHeight="1" x14ac:dyDescent="0.25">
      <c r="A91" s="6" t="s">
        <v>125</v>
      </c>
      <c r="B91" s="9" t="s">
        <v>21</v>
      </c>
      <c r="C91" s="6" t="s">
        <v>16</v>
      </c>
      <c r="D91" s="6">
        <v>0</v>
      </c>
      <c r="E91" s="6" t="s">
        <v>295</v>
      </c>
    </row>
    <row r="92" spans="1:5" ht="15.75" customHeight="1" x14ac:dyDescent="0.25">
      <c r="A92" s="6" t="s">
        <v>126</v>
      </c>
      <c r="B92" s="10" t="s">
        <v>23</v>
      </c>
      <c r="C92" s="6" t="s">
        <v>16</v>
      </c>
      <c r="D92" s="6">
        <v>0</v>
      </c>
      <c r="E92" s="6" t="s">
        <v>24</v>
      </c>
    </row>
    <row r="93" spans="1:5" ht="18" customHeight="1" x14ac:dyDescent="0.25">
      <c r="A93" s="2" t="s">
        <v>127</v>
      </c>
      <c r="B93" s="2" t="s">
        <v>128</v>
      </c>
      <c r="C93" s="2" t="s">
        <v>10</v>
      </c>
      <c r="D93" s="3">
        <f>D94+D99+D103+D107+D111</f>
        <v>54</v>
      </c>
      <c r="E93" s="2"/>
    </row>
    <row r="94" spans="1:5" ht="25.5" customHeight="1" x14ac:dyDescent="0.25">
      <c r="A94" s="4" t="s">
        <v>129</v>
      </c>
      <c r="B94" s="4" t="s">
        <v>130</v>
      </c>
      <c r="C94" s="4" t="s">
        <v>13</v>
      </c>
      <c r="D94" s="5">
        <f>SUM(D95:D98)</f>
        <v>26</v>
      </c>
      <c r="E94" s="4" t="s">
        <v>4</v>
      </c>
    </row>
    <row r="95" spans="1:5" ht="15.75" customHeight="1" x14ac:dyDescent="0.25">
      <c r="A95" s="6" t="s">
        <v>131</v>
      </c>
      <c r="B95" s="7" t="s">
        <v>15</v>
      </c>
      <c r="C95" s="6" t="s">
        <v>16</v>
      </c>
      <c r="D95" s="6">
        <v>6</v>
      </c>
      <c r="E95" s="6" t="s">
        <v>299</v>
      </c>
    </row>
    <row r="96" spans="1:5" ht="15.75" customHeight="1" x14ac:dyDescent="0.25">
      <c r="A96" s="6" t="s">
        <v>132</v>
      </c>
      <c r="B96" s="8" t="s">
        <v>19</v>
      </c>
      <c r="C96" s="6" t="s">
        <v>16</v>
      </c>
      <c r="D96" s="6">
        <v>8</v>
      </c>
      <c r="E96" s="6" t="s">
        <v>17</v>
      </c>
    </row>
    <row r="97" spans="1:5" ht="15.75" customHeight="1" x14ac:dyDescent="0.25">
      <c r="A97" s="6" t="s">
        <v>133</v>
      </c>
      <c r="B97" s="9" t="s">
        <v>21</v>
      </c>
      <c r="C97" s="6" t="s">
        <v>16</v>
      </c>
      <c r="D97" s="6">
        <v>6</v>
      </c>
      <c r="E97" s="6" t="s">
        <v>295</v>
      </c>
    </row>
    <row r="98" spans="1:5" ht="15.75" customHeight="1" x14ac:dyDescent="0.25">
      <c r="A98" s="6" t="s">
        <v>134</v>
      </c>
      <c r="B98" s="10" t="s">
        <v>23</v>
      </c>
      <c r="C98" s="6" t="s">
        <v>16</v>
      </c>
      <c r="D98" s="6">
        <v>6</v>
      </c>
      <c r="E98" s="6" t="s">
        <v>24</v>
      </c>
    </row>
    <row r="99" spans="1:5" ht="25.5" customHeight="1" x14ac:dyDescent="0.25">
      <c r="A99" s="4" t="s">
        <v>135</v>
      </c>
      <c r="B99" s="4" t="s">
        <v>136</v>
      </c>
      <c r="C99" s="4" t="s">
        <v>13</v>
      </c>
      <c r="D99" s="5">
        <f>SUM(D100:D102)</f>
        <v>4</v>
      </c>
      <c r="E99" s="4" t="s">
        <v>4</v>
      </c>
    </row>
    <row r="100" spans="1:5" ht="15.75" customHeight="1" x14ac:dyDescent="0.25">
      <c r="A100" s="6" t="s">
        <v>137</v>
      </c>
      <c r="B100" s="8" t="s">
        <v>19</v>
      </c>
      <c r="C100" s="6" t="s">
        <v>16</v>
      </c>
      <c r="D100" s="6">
        <v>2</v>
      </c>
      <c r="E100" s="6" t="s">
        <v>17</v>
      </c>
    </row>
    <row r="101" spans="1:5" ht="15.75" customHeight="1" x14ac:dyDescent="0.25">
      <c r="A101" s="6" t="s">
        <v>138</v>
      </c>
      <c r="B101" s="9" t="s">
        <v>21</v>
      </c>
      <c r="C101" s="6" t="s">
        <v>16</v>
      </c>
      <c r="D101" s="6">
        <v>1</v>
      </c>
      <c r="E101" s="6" t="s">
        <v>295</v>
      </c>
    </row>
    <row r="102" spans="1:5" ht="15.75" customHeight="1" x14ac:dyDescent="0.25">
      <c r="A102" s="6" t="s">
        <v>139</v>
      </c>
      <c r="B102" s="10" t="s">
        <v>23</v>
      </c>
      <c r="C102" s="6" t="s">
        <v>16</v>
      </c>
      <c r="D102" s="6">
        <v>1</v>
      </c>
      <c r="E102" s="6" t="s">
        <v>24</v>
      </c>
    </row>
    <row r="103" spans="1:5" ht="25.5" customHeight="1" x14ac:dyDescent="0.25">
      <c r="A103" s="4" t="s">
        <v>140</v>
      </c>
      <c r="B103" s="4" t="s">
        <v>141</v>
      </c>
      <c r="C103" s="4" t="s">
        <v>13</v>
      </c>
      <c r="D103" s="5">
        <f>SUM(D104:D106)</f>
        <v>2</v>
      </c>
      <c r="E103" s="4" t="s">
        <v>4</v>
      </c>
    </row>
    <row r="104" spans="1:5" ht="15.75" customHeight="1" x14ac:dyDescent="0.25">
      <c r="A104" s="6" t="s">
        <v>142</v>
      </c>
      <c r="B104" s="8" t="s">
        <v>19</v>
      </c>
      <c r="C104" s="6" t="s">
        <v>16</v>
      </c>
      <c r="D104" s="6">
        <v>2</v>
      </c>
      <c r="E104" s="6" t="s">
        <v>17</v>
      </c>
    </row>
    <row r="105" spans="1:5" ht="15.75" customHeight="1" x14ac:dyDescent="0.25">
      <c r="A105" s="6" t="s">
        <v>143</v>
      </c>
      <c r="B105" s="9" t="s">
        <v>21</v>
      </c>
      <c r="C105" s="6" t="s">
        <v>16</v>
      </c>
      <c r="D105" s="6">
        <v>0</v>
      </c>
      <c r="E105" s="6" t="s">
        <v>295</v>
      </c>
    </row>
    <row r="106" spans="1:5" ht="15.75" customHeight="1" x14ac:dyDescent="0.25">
      <c r="A106" s="6" t="s">
        <v>144</v>
      </c>
      <c r="B106" s="10" t="s">
        <v>23</v>
      </c>
      <c r="C106" s="6" t="s">
        <v>16</v>
      </c>
      <c r="D106" s="6">
        <v>0</v>
      </c>
      <c r="E106" s="6" t="s">
        <v>24</v>
      </c>
    </row>
    <row r="107" spans="1:5" ht="25.5" customHeight="1" x14ac:dyDescent="0.25">
      <c r="A107" s="4" t="s">
        <v>145</v>
      </c>
      <c r="B107" s="4" t="s">
        <v>146</v>
      </c>
      <c r="C107" s="4" t="s">
        <v>13</v>
      </c>
      <c r="D107" s="5">
        <f>SUM(D108:D110)</f>
        <v>16</v>
      </c>
      <c r="E107" s="4" t="s">
        <v>4</v>
      </c>
    </row>
    <row r="108" spans="1:5" ht="15.75" customHeight="1" x14ac:dyDescent="0.25">
      <c r="A108" s="6" t="s">
        <v>147</v>
      </c>
      <c r="B108" s="8" t="s">
        <v>19</v>
      </c>
      <c r="C108" s="6" t="s">
        <v>16</v>
      </c>
      <c r="D108" s="6">
        <v>6</v>
      </c>
      <c r="E108" s="6" t="s">
        <v>17</v>
      </c>
    </row>
    <row r="109" spans="1:5" ht="15.75" customHeight="1" x14ac:dyDescent="0.25">
      <c r="A109" s="6" t="s">
        <v>148</v>
      </c>
      <c r="B109" s="9" t="s">
        <v>21</v>
      </c>
      <c r="C109" s="6" t="s">
        <v>16</v>
      </c>
      <c r="D109" s="6">
        <v>5</v>
      </c>
      <c r="E109" s="6" t="s">
        <v>295</v>
      </c>
    </row>
    <row r="110" spans="1:5" ht="15.75" customHeight="1" x14ac:dyDescent="0.25">
      <c r="A110" s="6" t="s">
        <v>149</v>
      </c>
      <c r="B110" s="10" t="s">
        <v>23</v>
      </c>
      <c r="C110" s="6" t="s">
        <v>16</v>
      </c>
      <c r="D110" s="6">
        <v>5</v>
      </c>
      <c r="E110" s="6" t="s">
        <v>24</v>
      </c>
    </row>
    <row r="111" spans="1:5" ht="25.5" customHeight="1" x14ac:dyDescent="0.25">
      <c r="A111" s="4" t="s">
        <v>150</v>
      </c>
      <c r="B111" s="4" t="s">
        <v>151</v>
      </c>
      <c r="C111" s="4" t="s">
        <v>13</v>
      </c>
      <c r="D111" s="5">
        <f>SUM(D112:D114)</f>
        <v>6</v>
      </c>
      <c r="E111" s="4" t="s">
        <v>4</v>
      </c>
    </row>
    <row r="112" spans="1:5" ht="15.75" customHeight="1" x14ac:dyDescent="0.25">
      <c r="A112" s="6" t="s">
        <v>152</v>
      </c>
      <c r="B112" s="8" t="s">
        <v>19</v>
      </c>
      <c r="C112" s="6" t="s">
        <v>16</v>
      </c>
      <c r="D112" s="6">
        <v>2</v>
      </c>
      <c r="E112" s="6" t="s">
        <v>17</v>
      </c>
    </row>
    <row r="113" spans="1:5" ht="15.75" customHeight="1" x14ac:dyDescent="0.25">
      <c r="A113" s="6" t="s">
        <v>153</v>
      </c>
      <c r="B113" s="9" t="s">
        <v>21</v>
      </c>
      <c r="C113" s="6" t="s">
        <v>16</v>
      </c>
      <c r="D113" s="6">
        <v>2</v>
      </c>
      <c r="E113" s="6" t="s">
        <v>295</v>
      </c>
    </row>
    <row r="114" spans="1:5" ht="15.75" customHeight="1" x14ac:dyDescent="0.25">
      <c r="A114" s="6" t="s">
        <v>154</v>
      </c>
      <c r="B114" s="10" t="s">
        <v>23</v>
      </c>
      <c r="C114" s="6" t="s">
        <v>16</v>
      </c>
      <c r="D114" s="6">
        <v>2</v>
      </c>
      <c r="E114" s="6" t="s">
        <v>24</v>
      </c>
    </row>
    <row r="115" spans="1:5" ht="18" customHeight="1" x14ac:dyDescent="0.25">
      <c r="A115" s="2" t="s">
        <v>155</v>
      </c>
      <c r="B115" s="2" t="s">
        <v>156</v>
      </c>
      <c r="C115" s="2" t="s">
        <v>10</v>
      </c>
      <c r="D115" s="3">
        <f>D116+D121+D125+D129</f>
        <v>33</v>
      </c>
      <c r="E115" s="2"/>
    </row>
    <row r="116" spans="1:5" ht="25.5" customHeight="1" x14ac:dyDescent="0.25">
      <c r="A116" s="4" t="s">
        <v>157</v>
      </c>
      <c r="B116" s="4" t="s">
        <v>158</v>
      </c>
      <c r="C116" s="4" t="s">
        <v>13</v>
      </c>
      <c r="D116" s="5">
        <f>SUM(D117:D120)</f>
        <v>16</v>
      </c>
      <c r="E116" s="4" t="s">
        <v>4</v>
      </c>
    </row>
    <row r="117" spans="1:5" ht="15.75" customHeight="1" x14ac:dyDescent="0.25">
      <c r="A117" s="6" t="s">
        <v>159</v>
      </c>
      <c r="B117" s="7" t="s">
        <v>15</v>
      </c>
      <c r="C117" s="6" t="s">
        <v>16</v>
      </c>
      <c r="D117" s="6">
        <v>4</v>
      </c>
      <c r="E117" s="6" t="s">
        <v>299</v>
      </c>
    </row>
    <row r="118" spans="1:5" ht="15.75" customHeight="1" x14ac:dyDescent="0.25">
      <c r="A118" s="6" t="s">
        <v>160</v>
      </c>
      <c r="B118" s="8" t="s">
        <v>19</v>
      </c>
      <c r="C118" s="6" t="s">
        <v>16</v>
      </c>
      <c r="D118" s="6">
        <v>4</v>
      </c>
      <c r="E118" s="6" t="s">
        <v>17</v>
      </c>
    </row>
    <row r="119" spans="1:5" ht="15.75" customHeight="1" x14ac:dyDescent="0.25">
      <c r="A119" s="6" t="s">
        <v>161</v>
      </c>
      <c r="B119" s="9" t="s">
        <v>21</v>
      </c>
      <c r="C119" s="6" t="s">
        <v>16</v>
      </c>
      <c r="D119" s="6">
        <v>4</v>
      </c>
      <c r="E119" s="6" t="s">
        <v>295</v>
      </c>
    </row>
    <row r="120" spans="1:5" ht="15.75" customHeight="1" x14ac:dyDescent="0.25">
      <c r="A120" s="6" t="s">
        <v>162</v>
      </c>
      <c r="B120" s="10" t="s">
        <v>23</v>
      </c>
      <c r="C120" s="6" t="s">
        <v>16</v>
      </c>
      <c r="D120" s="6">
        <v>4</v>
      </c>
      <c r="E120" s="6" t="s">
        <v>24</v>
      </c>
    </row>
    <row r="121" spans="1:5" ht="25.5" customHeight="1" x14ac:dyDescent="0.25">
      <c r="A121" s="4" t="s">
        <v>163</v>
      </c>
      <c r="B121" s="4" t="s">
        <v>164</v>
      </c>
      <c r="C121" s="4" t="s">
        <v>13</v>
      </c>
      <c r="D121" s="5">
        <f>SUM(D122:D124)</f>
        <v>6</v>
      </c>
      <c r="E121" s="4" t="s">
        <v>4</v>
      </c>
    </row>
    <row r="122" spans="1:5" ht="15.75" customHeight="1" x14ac:dyDescent="0.25">
      <c r="A122" s="6" t="s">
        <v>165</v>
      </c>
      <c r="B122" s="8" t="s">
        <v>19</v>
      </c>
      <c r="C122" s="6" t="s">
        <v>16</v>
      </c>
      <c r="D122" s="6">
        <v>2</v>
      </c>
      <c r="E122" s="6" t="s">
        <v>17</v>
      </c>
    </row>
    <row r="123" spans="1:5" ht="15.75" customHeight="1" x14ac:dyDescent="0.25">
      <c r="A123" s="6" t="s">
        <v>166</v>
      </c>
      <c r="B123" s="9" t="s">
        <v>21</v>
      </c>
      <c r="C123" s="6" t="s">
        <v>16</v>
      </c>
      <c r="D123" s="6">
        <v>2</v>
      </c>
      <c r="E123" s="6" t="s">
        <v>295</v>
      </c>
    </row>
    <row r="124" spans="1:5" ht="15.75" customHeight="1" x14ac:dyDescent="0.25">
      <c r="A124" s="6" t="s">
        <v>167</v>
      </c>
      <c r="B124" s="10" t="s">
        <v>23</v>
      </c>
      <c r="C124" s="6" t="s">
        <v>16</v>
      </c>
      <c r="D124" s="6">
        <v>2</v>
      </c>
      <c r="E124" s="6" t="s">
        <v>24</v>
      </c>
    </row>
    <row r="125" spans="1:5" ht="25.5" customHeight="1" x14ac:dyDescent="0.25">
      <c r="A125" s="4" t="s">
        <v>168</v>
      </c>
      <c r="B125" s="4" t="s">
        <v>169</v>
      </c>
      <c r="C125" s="4" t="s">
        <v>13</v>
      </c>
      <c r="D125" s="5">
        <f>SUM(D126:D128)</f>
        <v>5</v>
      </c>
      <c r="E125" s="4" t="s">
        <v>4</v>
      </c>
    </row>
    <row r="126" spans="1:5" ht="15.75" customHeight="1" x14ac:dyDescent="0.25">
      <c r="A126" s="6" t="s">
        <v>170</v>
      </c>
      <c r="B126" s="8" t="s">
        <v>19</v>
      </c>
      <c r="C126" s="6" t="s">
        <v>16</v>
      </c>
      <c r="D126" s="6">
        <v>2</v>
      </c>
      <c r="E126" s="6" t="s">
        <v>17</v>
      </c>
    </row>
    <row r="127" spans="1:5" ht="15.75" customHeight="1" x14ac:dyDescent="0.25">
      <c r="A127" s="6" t="s">
        <v>171</v>
      </c>
      <c r="B127" s="9" t="s">
        <v>21</v>
      </c>
      <c r="C127" s="6" t="s">
        <v>16</v>
      </c>
      <c r="D127" s="6">
        <v>2</v>
      </c>
      <c r="E127" s="6" t="s">
        <v>295</v>
      </c>
    </row>
    <row r="128" spans="1:5" ht="15.75" customHeight="1" x14ac:dyDescent="0.25">
      <c r="A128" s="6" t="s">
        <v>172</v>
      </c>
      <c r="B128" s="10" t="s">
        <v>23</v>
      </c>
      <c r="C128" s="6" t="s">
        <v>16</v>
      </c>
      <c r="D128" s="6">
        <v>1</v>
      </c>
      <c r="E128" s="6" t="s">
        <v>24</v>
      </c>
    </row>
    <row r="129" spans="1:5" ht="25.5" customHeight="1" x14ac:dyDescent="0.25">
      <c r="A129" s="4" t="s">
        <v>173</v>
      </c>
      <c r="B129" s="4" t="s">
        <v>174</v>
      </c>
      <c r="C129" s="4" t="s">
        <v>13</v>
      </c>
      <c r="D129" s="5">
        <f>SUM(D130:D132)</f>
        <v>6</v>
      </c>
      <c r="E129" s="4" t="s">
        <v>4</v>
      </c>
    </row>
    <row r="130" spans="1:5" ht="15.75" customHeight="1" x14ac:dyDescent="0.25">
      <c r="A130" s="6" t="s">
        <v>175</v>
      </c>
      <c r="B130" s="8" t="s">
        <v>19</v>
      </c>
      <c r="C130" s="6" t="s">
        <v>16</v>
      </c>
      <c r="D130" s="6">
        <v>2</v>
      </c>
      <c r="E130" s="6" t="s">
        <v>17</v>
      </c>
    </row>
    <row r="131" spans="1:5" ht="15.75" customHeight="1" x14ac:dyDescent="0.25">
      <c r="A131" s="6" t="s">
        <v>176</v>
      </c>
      <c r="B131" s="9" t="s">
        <v>21</v>
      </c>
      <c r="C131" s="6" t="s">
        <v>16</v>
      </c>
      <c r="D131" s="6">
        <v>2</v>
      </c>
      <c r="E131" s="6" t="s">
        <v>295</v>
      </c>
    </row>
    <row r="132" spans="1:5" ht="15.75" customHeight="1" x14ac:dyDescent="0.25">
      <c r="A132" s="6" t="s">
        <v>177</v>
      </c>
      <c r="B132" s="10" t="s">
        <v>23</v>
      </c>
      <c r="C132" s="6" t="s">
        <v>16</v>
      </c>
      <c r="D132" s="6">
        <v>2</v>
      </c>
      <c r="E132" s="6" t="s">
        <v>24</v>
      </c>
    </row>
    <row r="133" spans="1:5" ht="18" customHeight="1" x14ac:dyDescent="0.25">
      <c r="A133" s="2" t="s">
        <v>178</v>
      </c>
      <c r="B133" s="2" t="s">
        <v>179</v>
      </c>
      <c r="C133" s="2" t="s">
        <v>10</v>
      </c>
      <c r="D133" s="3">
        <f>D134+D138+D141+D144+D147+D150</f>
        <v>37</v>
      </c>
      <c r="E133" s="2"/>
    </row>
    <row r="134" spans="1:5" ht="25.5" customHeight="1" x14ac:dyDescent="0.25">
      <c r="A134" s="4" t="s">
        <v>180</v>
      </c>
      <c r="B134" s="4" t="s">
        <v>181</v>
      </c>
      <c r="C134" s="4" t="s">
        <v>13</v>
      </c>
      <c r="D134" s="5">
        <f>SUM(D135:D137)</f>
        <v>10</v>
      </c>
      <c r="E134" s="4" t="s">
        <v>4</v>
      </c>
    </row>
    <row r="135" spans="1:5" ht="15.75" customHeight="1" x14ac:dyDescent="0.25">
      <c r="A135" s="6" t="s">
        <v>182</v>
      </c>
      <c r="B135" s="7" t="s">
        <v>15</v>
      </c>
      <c r="C135" s="6" t="s">
        <v>16</v>
      </c>
      <c r="D135" s="6">
        <v>2</v>
      </c>
      <c r="E135" s="6" t="s">
        <v>299</v>
      </c>
    </row>
    <row r="136" spans="1:5" ht="15.75" customHeight="1" x14ac:dyDescent="0.25">
      <c r="A136" s="6" t="s">
        <v>183</v>
      </c>
      <c r="B136" s="8" t="s">
        <v>19</v>
      </c>
      <c r="C136" s="6" t="s">
        <v>16</v>
      </c>
      <c r="D136" s="6">
        <v>4</v>
      </c>
      <c r="E136" s="6" t="s">
        <v>17</v>
      </c>
    </row>
    <row r="137" spans="1:5" ht="15.75" customHeight="1" x14ac:dyDescent="0.25">
      <c r="A137" s="6" t="s">
        <v>184</v>
      </c>
      <c r="B137" s="9" t="s">
        <v>21</v>
      </c>
      <c r="C137" s="6" t="s">
        <v>16</v>
      </c>
      <c r="D137" s="6">
        <v>4</v>
      </c>
      <c r="E137" s="6" t="s">
        <v>295</v>
      </c>
    </row>
    <row r="138" spans="1:5" ht="25.5" customHeight="1" x14ac:dyDescent="0.25">
      <c r="A138" s="4" t="s">
        <v>185</v>
      </c>
      <c r="B138" s="4" t="s">
        <v>186</v>
      </c>
      <c r="C138" s="4" t="s">
        <v>13</v>
      </c>
      <c r="D138" s="5">
        <f>SUM(D139:D140)</f>
        <v>6</v>
      </c>
      <c r="E138" s="4" t="s">
        <v>4</v>
      </c>
    </row>
    <row r="139" spans="1:5" ht="15.75" customHeight="1" x14ac:dyDescent="0.25">
      <c r="A139" s="6" t="s">
        <v>187</v>
      </c>
      <c r="B139" s="8" t="s">
        <v>19</v>
      </c>
      <c r="C139" s="6" t="s">
        <v>16</v>
      </c>
      <c r="D139" s="6">
        <v>3</v>
      </c>
      <c r="E139" s="6" t="s">
        <v>17</v>
      </c>
    </row>
    <row r="140" spans="1:5" ht="15.75" customHeight="1" x14ac:dyDescent="0.25">
      <c r="A140" s="6" t="s">
        <v>188</v>
      </c>
      <c r="B140" s="9" t="s">
        <v>21</v>
      </c>
      <c r="C140" s="6" t="s">
        <v>16</v>
      </c>
      <c r="D140" s="6">
        <v>3</v>
      </c>
      <c r="E140" s="6" t="s">
        <v>295</v>
      </c>
    </row>
    <row r="141" spans="1:5" ht="25.5" customHeight="1" x14ac:dyDescent="0.25">
      <c r="A141" s="4" t="s">
        <v>189</v>
      </c>
      <c r="B141" s="4" t="s">
        <v>190</v>
      </c>
      <c r="C141" s="4" t="s">
        <v>13</v>
      </c>
      <c r="D141" s="5">
        <f>SUM(D142:D143)</f>
        <v>6</v>
      </c>
      <c r="E141" s="4" t="s">
        <v>4</v>
      </c>
    </row>
    <row r="142" spans="1:5" ht="15.75" customHeight="1" x14ac:dyDescent="0.25">
      <c r="A142" s="6" t="s">
        <v>191</v>
      </c>
      <c r="B142" s="8" t="s">
        <v>19</v>
      </c>
      <c r="C142" s="6" t="s">
        <v>16</v>
      </c>
      <c r="D142" s="6">
        <v>3</v>
      </c>
      <c r="E142" s="6" t="s">
        <v>17</v>
      </c>
    </row>
    <row r="143" spans="1:5" ht="15.75" customHeight="1" x14ac:dyDescent="0.25">
      <c r="A143" s="6" t="s">
        <v>192</v>
      </c>
      <c r="B143" s="9" t="s">
        <v>21</v>
      </c>
      <c r="C143" s="6" t="s">
        <v>16</v>
      </c>
      <c r="D143" s="6">
        <v>3</v>
      </c>
      <c r="E143" s="6" t="s">
        <v>295</v>
      </c>
    </row>
    <row r="144" spans="1:5" ht="25.5" customHeight="1" x14ac:dyDescent="0.25">
      <c r="A144" s="4" t="s">
        <v>193</v>
      </c>
      <c r="B144" s="4" t="s">
        <v>194</v>
      </c>
      <c r="C144" s="4" t="s">
        <v>13</v>
      </c>
      <c r="D144" s="5">
        <f>SUM(D145:D146)</f>
        <v>9</v>
      </c>
      <c r="E144" s="4" t="s">
        <v>4</v>
      </c>
    </row>
    <row r="145" spans="1:5" ht="15.75" customHeight="1" x14ac:dyDescent="0.25">
      <c r="A145" s="6" t="s">
        <v>195</v>
      </c>
      <c r="B145" s="8" t="s">
        <v>19</v>
      </c>
      <c r="C145" s="6" t="s">
        <v>16</v>
      </c>
      <c r="D145" s="6">
        <v>4</v>
      </c>
      <c r="E145" s="6" t="s">
        <v>17</v>
      </c>
    </row>
    <row r="146" spans="1:5" ht="15.75" customHeight="1" x14ac:dyDescent="0.25">
      <c r="A146" s="6" t="s">
        <v>196</v>
      </c>
      <c r="B146" s="9" t="s">
        <v>21</v>
      </c>
      <c r="C146" s="6" t="s">
        <v>16</v>
      </c>
      <c r="D146" s="6">
        <v>5</v>
      </c>
      <c r="E146" s="6" t="s">
        <v>295</v>
      </c>
    </row>
    <row r="147" spans="1:5" ht="25.5" customHeight="1" x14ac:dyDescent="0.25">
      <c r="A147" s="4" t="s">
        <v>197</v>
      </c>
      <c r="B147" s="4" t="s">
        <v>198</v>
      </c>
      <c r="C147" s="4" t="s">
        <v>13</v>
      </c>
      <c r="D147" s="5">
        <f>SUM(D148:D149)</f>
        <v>6</v>
      </c>
      <c r="E147" s="4" t="s">
        <v>4</v>
      </c>
    </row>
    <row r="148" spans="1:5" ht="15.75" customHeight="1" x14ac:dyDescent="0.25">
      <c r="A148" s="6" t="s">
        <v>199</v>
      </c>
      <c r="B148" s="8" t="s">
        <v>19</v>
      </c>
      <c r="C148" s="6" t="s">
        <v>16</v>
      </c>
      <c r="D148" s="6">
        <v>3</v>
      </c>
      <c r="E148" s="6" t="s">
        <v>17</v>
      </c>
    </row>
    <row r="149" spans="1:5" ht="15.75" customHeight="1" x14ac:dyDescent="0.25">
      <c r="A149" s="6" t="s">
        <v>200</v>
      </c>
      <c r="B149" s="9" t="s">
        <v>21</v>
      </c>
      <c r="C149" s="6" t="s">
        <v>16</v>
      </c>
      <c r="D149" s="6">
        <v>3</v>
      </c>
      <c r="E149" s="6" t="s">
        <v>295</v>
      </c>
    </row>
    <row r="150" spans="1:5" ht="25.5" customHeight="1" x14ac:dyDescent="0.25">
      <c r="A150" s="4" t="s">
        <v>201</v>
      </c>
      <c r="B150" s="4" t="s">
        <v>202</v>
      </c>
      <c r="C150" s="4" t="s">
        <v>13</v>
      </c>
      <c r="D150" s="5">
        <v>0</v>
      </c>
      <c r="E150" s="4" t="s">
        <v>4</v>
      </c>
    </row>
    <row r="151" spans="1:5" ht="15.75" customHeight="1" x14ac:dyDescent="0.25">
      <c r="A151" s="6" t="s">
        <v>203</v>
      </c>
      <c r="B151" s="8" t="s">
        <v>19</v>
      </c>
      <c r="C151" s="6" t="s">
        <v>16</v>
      </c>
      <c r="D151" s="6">
        <v>0</v>
      </c>
      <c r="E151" s="6" t="s">
        <v>17</v>
      </c>
    </row>
    <row r="152" spans="1:5" ht="15.75" customHeight="1" x14ac:dyDescent="0.25">
      <c r="A152" s="6" t="s">
        <v>204</v>
      </c>
      <c r="B152" s="9" t="s">
        <v>21</v>
      </c>
      <c r="C152" s="6" t="s">
        <v>16</v>
      </c>
      <c r="D152" s="6">
        <v>0</v>
      </c>
      <c r="E152" s="6" t="s">
        <v>295</v>
      </c>
    </row>
    <row r="153" spans="1:5" ht="18" customHeight="1" x14ac:dyDescent="0.25">
      <c r="A153" s="2" t="s">
        <v>205</v>
      </c>
      <c r="B153" s="2" t="s">
        <v>206</v>
      </c>
      <c r="C153" s="2" t="s">
        <v>10</v>
      </c>
      <c r="D153" s="3">
        <f>D154+D159+D163+D167+D171</f>
        <v>64</v>
      </c>
      <c r="E153" s="2"/>
    </row>
    <row r="154" spans="1:5" ht="25.5" customHeight="1" x14ac:dyDescent="0.25">
      <c r="A154" s="4" t="s">
        <v>207</v>
      </c>
      <c r="B154" s="4" t="s">
        <v>208</v>
      </c>
      <c r="C154" s="4" t="s">
        <v>13</v>
      </c>
      <c r="D154" s="5">
        <f>SUM(D155:D158)</f>
        <v>18</v>
      </c>
      <c r="E154" s="4" t="s">
        <v>4</v>
      </c>
    </row>
    <row r="155" spans="1:5" ht="15.75" customHeight="1" x14ac:dyDescent="0.25">
      <c r="A155" s="6" t="s">
        <v>209</v>
      </c>
      <c r="B155" s="7" t="s">
        <v>15</v>
      </c>
      <c r="C155" s="6" t="s">
        <v>16</v>
      </c>
      <c r="D155" s="6">
        <v>4</v>
      </c>
      <c r="E155" s="6" t="s">
        <v>299</v>
      </c>
    </row>
    <row r="156" spans="1:5" ht="15.75" customHeight="1" x14ac:dyDescent="0.25">
      <c r="A156" s="6" t="s">
        <v>210</v>
      </c>
      <c r="B156" s="8" t="s">
        <v>19</v>
      </c>
      <c r="C156" s="6" t="s">
        <v>16</v>
      </c>
      <c r="D156" s="6">
        <v>4</v>
      </c>
      <c r="E156" s="6" t="s">
        <v>17</v>
      </c>
    </row>
    <row r="157" spans="1:5" ht="15.75" customHeight="1" x14ac:dyDescent="0.25">
      <c r="A157" s="6" t="s">
        <v>211</v>
      </c>
      <c r="B157" s="9" t="s">
        <v>21</v>
      </c>
      <c r="C157" s="6" t="s">
        <v>16</v>
      </c>
      <c r="D157" s="6">
        <v>5</v>
      </c>
      <c r="E157" s="6" t="s">
        <v>295</v>
      </c>
    </row>
    <row r="158" spans="1:5" ht="15.75" customHeight="1" x14ac:dyDescent="0.25">
      <c r="A158" s="6" t="s">
        <v>212</v>
      </c>
      <c r="B158" s="10" t="s">
        <v>23</v>
      </c>
      <c r="C158" s="6" t="s">
        <v>16</v>
      </c>
      <c r="D158" s="6">
        <v>5</v>
      </c>
      <c r="E158" s="6" t="s">
        <v>24</v>
      </c>
    </row>
    <row r="159" spans="1:5" ht="25.5" customHeight="1" x14ac:dyDescent="0.25">
      <c r="A159" s="4" t="s">
        <v>213</v>
      </c>
      <c r="B159" s="4" t="s">
        <v>214</v>
      </c>
      <c r="C159" s="4" t="s">
        <v>13</v>
      </c>
      <c r="D159" s="5">
        <f>SUM(D160:D162)</f>
        <v>10</v>
      </c>
      <c r="E159" s="4" t="s">
        <v>4</v>
      </c>
    </row>
    <row r="160" spans="1:5" ht="15.75" customHeight="1" x14ac:dyDescent="0.25">
      <c r="A160" s="6" t="s">
        <v>215</v>
      </c>
      <c r="B160" s="8" t="s">
        <v>19</v>
      </c>
      <c r="C160" s="6" t="s">
        <v>16</v>
      </c>
      <c r="D160" s="6">
        <v>4</v>
      </c>
      <c r="E160" s="6" t="s">
        <v>17</v>
      </c>
    </row>
    <row r="161" spans="1:5" ht="15.75" customHeight="1" x14ac:dyDescent="0.25">
      <c r="A161" s="6" t="s">
        <v>216</v>
      </c>
      <c r="B161" s="9" t="s">
        <v>21</v>
      </c>
      <c r="C161" s="6" t="s">
        <v>16</v>
      </c>
      <c r="D161" s="6">
        <v>3</v>
      </c>
      <c r="E161" s="6" t="s">
        <v>295</v>
      </c>
    </row>
    <row r="162" spans="1:5" ht="15.75" customHeight="1" x14ac:dyDescent="0.25">
      <c r="A162" s="6" t="s">
        <v>217</v>
      </c>
      <c r="B162" s="10" t="s">
        <v>23</v>
      </c>
      <c r="C162" s="6" t="s">
        <v>16</v>
      </c>
      <c r="D162" s="6">
        <v>3</v>
      </c>
      <c r="E162" s="6" t="s">
        <v>24</v>
      </c>
    </row>
    <row r="163" spans="1:5" ht="25.5" customHeight="1" x14ac:dyDescent="0.25">
      <c r="A163" s="4" t="s">
        <v>218</v>
      </c>
      <c r="B163" s="4" t="s">
        <v>219</v>
      </c>
      <c r="C163" s="4" t="s">
        <v>13</v>
      </c>
      <c r="D163" s="5">
        <f>SUM(D164:D166)</f>
        <v>14</v>
      </c>
      <c r="E163" s="4" t="s">
        <v>4</v>
      </c>
    </row>
    <row r="164" spans="1:5" ht="15.75" customHeight="1" x14ac:dyDescent="0.25">
      <c r="A164" s="6" t="s">
        <v>220</v>
      </c>
      <c r="B164" s="8" t="s">
        <v>19</v>
      </c>
      <c r="C164" s="6" t="s">
        <v>16</v>
      </c>
      <c r="D164" s="6">
        <v>4</v>
      </c>
      <c r="E164" s="6" t="s">
        <v>17</v>
      </c>
    </row>
    <row r="165" spans="1:5" ht="15.75" customHeight="1" x14ac:dyDescent="0.25">
      <c r="A165" s="6" t="s">
        <v>221</v>
      </c>
      <c r="B165" s="9" t="s">
        <v>21</v>
      </c>
      <c r="C165" s="6" t="s">
        <v>16</v>
      </c>
      <c r="D165" s="6">
        <v>5</v>
      </c>
      <c r="E165" s="6" t="s">
        <v>295</v>
      </c>
    </row>
    <row r="166" spans="1:5" ht="15.75" customHeight="1" x14ac:dyDescent="0.25">
      <c r="A166" s="6" t="s">
        <v>222</v>
      </c>
      <c r="B166" s="10" t="s">
        <v>23</v>
      </c>
      <c r="C166" s="6" t="s">
        <v>16</v>
      </c>
      <c r="D166" s="6">
        <v>5</v>
      </c>
      <c r="E166" s="6" t="s">
        <v>24</v>
      </c>
    </row>
    <row r="167" spans="1:5" ht="25.5" customHeight="1" x14ac:dyDescent="0.25">
      <c r="A167" s="4" t="s">
        <v>223</v>
      </c>
      <c r="B167" s="4" t="s">
        <v>224</v>
      </c>
      <c r="C167" s="4" t="s">
        <v>13</v>
      </c>
      <c r="D167" s="5">
        <f>SUM(D168:D170)</f>
        <v>11</v>
      </c>
      <c r="E167" s="4" t="s">
        <v>4</v>
      </c>
    </row>
    <row r="168" spans="1:5" ht="15.75" customHeight="1" x14ac:dyDescent="0.25">
      <c r="A168" s="6" t="s">
        <v>225</v>
      </c>
      <c r="B168" s="8" t="s">
        <v>19</v>
      </c>
      <c r="C168" s="6" t="s">
        <v>16</v>
      </c>
      <c r="D168" s="6">
        <v>4</v>
      </c>
      <c r="E168" s="6" t="s">
        <v>17</v>
      </c>
    </row>
    <row r="169" spans="1:5" ht="15.75" customHeight="1" x14ac:dyDescent="0.25">
      <c r="A169" s="6" t="s">
        <v>226</v>
      </c>
      <c r="B169" s="9" t="s">
        <v>21</v>
      </c>
      <c r="C169" s="6" t="s">
        <v>16</v>
      </c>
      <c r="D169" s="6">
        <v>4</v>
      </c>
      <c r="E169" s="6" t="s">
        <v>295</v>
      </c>
    </row>
    <row r="170" spans="1:5" ht="15.75" customHeight="1" x14ac:dyDescent="0.25">
      <c r="A170" s="6" t="s">
        <v>227</v>
      </c>
      <c r="B170" s="10" t="s">
        <v>23</v>
      </c>
      <c r="C170" s="6" t="s">
        <v>16</v>
      </c>
      <c r="D170" s="6">
        <v>3</v>
      </c>
      <c r="E170" s="6" t="s">
        <v>24</v>
      </c>
    </row>
    <row r="171" spans="1:5" ht="25.5" customHeight="1" x14ac:dyDescent="0.25">
      <c r="A171" s="4" t="s">
        <v>228</v>
      </c>
      <c r="B171" s="4" t="s">
        <v>229</v>
      </c>
      <c r="C171" s="4" t="s">
        <v>13</v>
      </c>
      <c r="D171" s="5">
        <f>SUM(D172:D174)</f>
        <v>11</v>
      </c>
      <c r="E171" s="4" t="s">
        <v>4</v>
      </c>
    </row>
    <row r="172" spans="1:5" ht="15.75" customHeight="1" x14ac:dyDescent="0.25">
      <c r="A172" s="6" t="s">
        <v>230</v>
      </c>
      <c r="B172" s="8" t="s">
        <v>19</v>
      </c>
      <c r="C172" s="6" t="s">
        <v>16</v>
      </c>
      <c r="D172" s="6">
        <v>4</v>
      </c>
      <c r="E172" s="6" t="s">
        <v>17</v>
      </c>
    </row>
    <row r="173" spans="1:5" ht="15.75" customHeight="1" x14ac:dyDescent="0.25">
      <c r="A173" s="6" t="s">
        <v>231</v>
      </c>
      <c r="B173" s="9" t="s">
        <v>21</v>
      </c>
      <c r="C173" s="6" t="s">
        <v>16</v>
      </c>
      <c r="D173" s="6">
        <v>4</v>
      </c>
      <c r="E173" s="6" t="s">
        <v>295</v>
      </c>
    </row>
    <row r="174" spans="1:5" ht="15.75" customHeight="1" x14ac:dyDescent="0.25">
      <c r="A174" s="6" t="s">
        <v>232</v>
      </c>
      <c r="B174" s="10" t="s">
        <v>23</v>
      </c>
      <c r="C174" s="6" t="s">
        <v>16</v>
      </c>
      <c r="D174" s="6">
        <v>3</v>
      </c>
      <c r="E174" s="6" t="s">
        <v>24</v>
      </c>
    </row>
    <row r="175" spans="1:5" ht="18" customHeight="1" x14ac:dyDescent="0.25">
      <c r="A175" s="2" t="s">
        <v>233</v>
      </c>
      <c r="B175" s="2" t="s">
        <v>234</v>
      </c>
      <c r="C175" s="2" t="s">
        <v>10</v>
      </c>
      <c r="D175" s="3">
        <f>D176+D181+D185+D189</f>
        <v>24</v>
      </c>
      <c r="E175" s="2"/>
    </row>
    <row r="176" spans="1:5" ht="25.5" customHeight="1" x14ac:dyDescent="0.25">
      <c r="A176" s="4" t="s">
        <v>235</v>
      </c>
      <c r="B176" s="4" t="s">
        <v>236</v>
      </c>
      <c r="C176" s="4" t="s">
        <v>13</v>
      </c>
      <c r="D176" s="5">
        <f>SUM(D177:D180)</f>
        <v>0</v>
      </c>
      <c r="E176" s="4" t="s">
        <v>4</v>
      </c>
    </row>
    <row r="177" spans="1:5" ht="15.75" customHeight="1" x14ac:dyDescent="0.25">
      <c r="A177" s="6" t="s">
        <v>237</v>
      </c>
      <c r="B177" s="7" t="s">
        <v>15</v>
      </c>
      <c r="C177" s="6" t="s">
        <v>16</v>
      </c>
      <c r="D177" s="6">
        <v>0</v>
      </c>
      <c r="E177" s="6" t="s">
        <v>299</v>
      </c>
    </row>
    <row r="178" spans="1:5" ht="15.75" customHeight="1" x14ac:dyDescent="0.25">
      <c r="A178" s="6" t="s">
        <v>238</v>
      </c>
      <c r="B178" s="8" t="s">
        <v>19</v>
      </c>
      <c r="C178" s="6" t="s">
        <v>16</v>
      </c>
      <c r="D178" s="6">
        <v>0</v>
      </c>
      <c r="E178" s="6" t="s">
        <v>17</v>
      </c>
    </row>
    <row r="179" spans="1:5" ht="15.75" customHeight="1" x14ac:dyDescent="0.25">
      <c r="A179" s="6" t="s">
        <v>239</v>
      </c>
      <c r="B179" s="9" t="s">
        <v>21</v>
      </c>
      <c r="C179" s="6" t="s">
        <v>16</v>
      </c>
      <c r="D179" s="6">
        <v>0</v>
      </c>
      <c r="E179" s="6" t="s">
        <v>295</v>
      </c>
    </row>
    <row r="180" spans="1:5" ht="15.75" customHeight="1" x14ac:dyDescent="0.25">
      <c r="A180" s="6" t="s">
        <v>240</v>
      </c>
      <c r="B180" s="10" t="s">
        <v>23</v>
      </c>
      <c r="C180" s="6" t="s">
        <v>16</v>
      </c>
      <c r="D180" s="6">
        <v>0</v>
      </c>
      <c r="E180" s="6" t="s">
        <v>24</v>
      </c>
    </row>
    <row r="181" spans="1:5" ht="25.5" customHeight="1" x14ac:dyDescent="0.25">
      <c r="A181" s="4" t="s">
        <v>241</v>
      </c>
      <c r="B181" s="4" t="s">
        <v>242</v>
      </c>
      <c r="C181" s="4" t="s">
        <v>13</v>
      </c>
      <c r="D181" s="5">
        <f>SUM(D182:D184)</f>
        <v>10</v>
      </c>
      <c r="E181" s="4" t="s">
        <v>4</v>
      </c>
    </row>
    <row r="182" spans="1:5" ht="15.75" customHeight="1" x14ac:dyDescent="0.25">
      <c r="A182" s="6" t="s">
        <v>243</v>
      </c>
      <c r="B182" s="8" t="s">
        <v>19</v>
      </c>
      <c r="C182" s="6" t="s">
        <v>16</v>
      </c>
      <c r="D182" s="6">
        <v>4</v>
      </c>
      <c r="E182" s="6" t="s">
        <v>17</v>
      </c>
    </row>
    <row r="183" spans="1:5" ht="15.75" customHeight="1" x14ac:dyDescent="0.25">
      <c r="A183" s="6" t="s">
        <v>244</v>
      </c>
      <c r="B183" s="9" t="s">
        <v>21</v>
      </c>
      <c r="C183" s="6" t="s">
        <v>16</v>
      </c>
      <c r="D183" s="6">
        <v>3</v>
      </c>
      <c r="E183" s="6" t="s">
        <v>295</v>
      </c>
    </row>
    <row r="184" spans="1:5" ht="15.75" customHeight="1" x14ac:dyDescent="0.25">
      <c r="A184" s="6" t="s">
        <v>245</v>
      </c>
      <c r="B184" s="10" t="s">
        <v>23</v>
      </c>
      <c r="C184" s="6" t="s">
        <v>16</v>
      </c>
      <c r="D184" s="6">
        <v>3</v>
      </c>
      <c r="E184" s="6" t="s">
        <v>24</v>
      </c>
    </row>
    <row r="185" spans="1:5" ht="25.5" customHeight="1" x14ac:dyDescent="0.25">
      <c r="A185" s="4" t="s">
        <v>246</v>
      </c>
      <c r="B185" s="4" t="s">
        <v>300</v>
      </c>
      <c r="C185" s="4" t="s">
        <v>13</v>
      </c>
      <c r="D185" s="5">
        <f>SUM(D186:D188)</f>
        <v>10</v>
      </c>
      <c r="E185" s="4" t="s">
        <v>4</v>
      </c>
    </row>
    <row r="186" spans="1:5" ht="15.75" customHeight="1" x14ac:dyDescent="0.25">
      <c r="A186" s="6" t="s">
        <v>247</v>
      </c>
      <c r="B186" s="8" t="s">
        <v>19</v>
      </c>
      <c r="C186" s="6" t="s">
        <v>16</v>
      </c>
      <c r="D186" s="6">
        <v>4</v>
      </c>
      <c r="E186" s="6" t="s">
        <v>17</v>
      </c>
    </row>
    <row r="187" spans="1:5" ht="15.75" customHeight="1" x14ac:dyDescent="0.25">
      <c r="A187" s="6" t="s">
        <v>248</v>
      </c>
      <c r="B187" s="9" t="s">
        <v>21</v>
      </c>
      <c r="C187" s="6" t="s">
        <v>16</v>
      </c>
      <c r="D187" s="6">
        <v>3</v>
      </c>
      <c r="E187" s="6" t="s">
        <v>295</v>
      </c>
    </row>
    <row r="188" spans="1:5" ht="15.75" customHeight="1" x14ac:dyDescent="0.25">
      <c r="A188" s="6" t="s">
        <v>249</v>
      </c>
      <c r="B188" s="10" t="s">
        <v>23</v>
      </c>
      <c r="C188" s="6" t="s">
        <v>16</v>
      </c>
      <c r="D188" s="6">
        <v>3</v>
      </c>
      <c r="E188" s="6" t="s">
        <v>24</v>
      </c>
    </row>
    <row r="189" spans="1:5" ht="25.5" customHeight="1" x14ac:dyDescent="0.25">
      <c r="A189" s="4" t="s">
        <v>250</v>
      </c>
      <c r="B189" s="4" t="s">
        <v>251</v>
      </c>
      <c r="C189" s="4" t="s">
        <v>13</v>
      </c>
      <c r="D189" s="5">
        <f>SUM(D190:D192)</f>
        <v>4</v>
      </c>
      <c r="E189" s="4" t="s">
        <v>4</v>
      </c>
    </row>
    <row r="190" spans="1:5" ht="15.75" customHeight="1" x14ac:dyDescent="0.25">
      <c r="A190" s="6" t="s">
        <v>252</v>
      </c>
      <c r="B190" s="8" t="s">
        <v>19</v>
      </c>
      <c r="C190" s="6" t="s">
        <v>16</v>
      </c>
      <c r="D190" s="6">
        <v>2</v>
      </c>
      <c r="E190" s="6" t="s">
        <v>17</v>
      </c>
    </row>
    <row r="191" spans="1:5" ht="15.75" customHeight="1" x14ac:dyDescent="0.25">
      <c r="A191" s="6" t="s">
        <v>253</v>
      </c>
      <c r="B191" s="9" t="s">
        <v>21</v>
      </c>
      <c r="C191" s="6" t="s">
        <v>16</v>
      </c>
      <c r="D191" s="6">
        <v>1</v>
      </c>
      <c r="E191" s="6" t="s">
        <v>295</v>
      </c>
    </row>
    <row r="192" spans="1:5" ht="15.75" customHeight="1" x14ac:dyDescent="0.25">
      <c r="A192" s="6" t="s">
        <v>254</v>
      </c>
      <c r="B192" s="10" t="s">
        <v>23</v>
      </c>
      <c r="C192" s="6" t="s">
        <v>16</v>
      </c>
      <c r="D192" s="6">
        <v>1</v>
      </c>
      <c r="E192" s="6" t="s">
        <v>24</v>
      </c>
    </row>
    <row r="193" spans="1:5" ht="18" customHeight="1" x14ac:dyDescent="0.25">
      <c r="A193" s="2" t="s">
        <v>255</v>
      </c>
      <c r="B193" s="2" t="s">
        <v>256</v>
      </c>
      <c r="C193" s="2" t="s">
        <v>10</v>
      </c>
      <c r="D193" s="3">
        <f>D194</f>
        <v>6</v>
      </c>
      <c r="E193" s="2"/>
    </row>
    <row r="194" spans="1:5" ht="25.5" customHeight="1" x14ac:dyDescent="0.25">
      <c r="A194" s="4" t="s">
        <v>257</v>
      </c>
      <c r="B194" s="4" t="s">
        <v>258</v>
      </c>
      <c r="C194" s="4" t="s">
        <v>13</v>
      </c>
      <c r="D194" s="5">
        <f>SUM(D195:D195)</f>
        <v>6</v>
      </c>
      <c r="E194" s="4" t="s">
        <v>4</v>
      </c>
    </row>
    <row r="195" spans="1:5" ht="15.75" customHeight="1" x14ac:dyDescent="0.25">
      <c r="A195" s="6" t="s">
        <v>259</v>
      </c>
      <c r="B195" s="10" t="s">
        <v>23</v>
      </c>
      <c r="C195" s="6" t="s">
        <v>16</v>
      </c>
      <c r="D195" s="6">
        <v>6</v>
      </c>
      <c r="E195" s="6" t="s">
        <v>24</v>
      </c>
    </row>
    <row r="196" spans="1:5" ht="18" customHeight="1" x14ac:dyDescent="0.25">
      <c r="A196" s="2" t="s">
        <v>260</v>
      </c>
      <c r="B196" s="2" t="s">
        <v>261</v>
      </c>
      <c r="C196" s="2" t="s">
        <v>10</v>
      </c>
      <c r="D196" s="3">
        <f>D197+D202+D206+D209</f>
        <v>33</v>
      </c>
      <c r="E196" s="2"/>
    </row>
    <row r="197" spans="1:5" ht="25.5" customHeight="1" x14ac:dyDescent="0.25">
      <c r="A197" s="4" t="s">
        <v>262</v>
      </c>
      <c r="B197" s="4" t="s">
        <v>263</v>
      </c>
      <c r="C197" s="4" t="s">
        <v>13</v>
      </c>
      <c r="D197" s="5">
        <f>SUM(D198:D201)</f>
        <v>14</v>
      </c>
      <c r="E197" s="4" t="s">
        <v>4</v>
      </c>
    </row>
    <row r="198" spans="1:5" ht="15.75" customHeight="1" x14ac:dyDescent="0.25">
      <c r="A198" s="6" t="s">
        <v>264</v>
      </c>
      <c r="B198" s="7" t="s">
        <v>15</v>
      </c>
      <c r="C198" s="6" t="s">
        <v>16</v>
      </c>
      <c r="D198" s="6">
        <v>2</v>
      </c>
      <c r="E198" s="6" t="s">
        <v>299</v>
      </c>
    </row>
    <row r="199" spans="1:5" ht="15.75" customHeight="1" x14ac:dyDescent="0.25">
      <c r="A199" s="6" t="s">
        <v>265</v>
      </c>
      <c r="B199" s="8" t="s">
        <v>19</v>
      </c>
      <c r="C199" s="6" t="s">
        <v>16</v>
      </c>
      <c r="D199" s="6">
        <v>4</v>
      </c>
      <c r="E199" s="6" t="s">
        <v>299</v>
      </c>
    </row>
    <row r="200" spans="1:5" ht="15.75" customHeight="1" x14ac:dyDescent="0.25">
      <c r="A200" s="6" t="s">
        <v>266</v>
      </c>
      <c r="B200" s="9" t="s">
        <v>21</v>
      </c>
      <c r="C200" s="6" t="s">
        <v>16</v>
      </c>
      <c r="D200" s="6">
        <v>4</v>
      </c>
      <c r="E200" s="6" t="s">
        <v>299</v>
      </c>
    </row>
    <row r="201" spans="1:5" ht="15.75" customHeight="1" x14ac:dyDescent="0.25">
      <c r="A201" s="6" t="s">
        <v>267</v>
      </c>
      <c r="B201" s="10" t="s">
        <v>23</v>
      </c>
      <c r="C201" s="6" t="s">
        <v>16</v>
      </c>
      <c r="D201" s="6">
        <v>4</v>
      </c>
      <c r="E201" s="6" t="s">
        <v>24</v>
      </c>
    </row>
    <row r="202" spans="1:5" ht="25.5" customHeight="1" x14ac:dyDescent="0.25">
      <c r="A202" s="4" t="s">
        <v>268</v>
      </c>
      <c r="B202" s="4" t="s">
        <v>269</v>
      </c>
      <c r="C202" s="4" t="s">
        <v>13</v>
      </c>
      <c r="D202" s="5">
        <f>SUM(D203:D205)</f>
        <v>12</v>
      </c>
      <c r="E202" s="4" t="s">
        <v>4</v>
      </c>
    </row>
    <row r="203" spans="1:5" ht="15.75" customHeight="1" x14ac:dyDescent="0.25">
      <c r="A203" s="6" t="s">
        <v>270</v>
      </c>
      <c r="B203" s="8" t="s">
        <v>19</v>
      </c>
      <c r="C203" s="6" t="s">
        <v>16</v>
      </c>
      <c r="D203" s="6">
        <v>4</v>
      </c>
      <c r="E203" s="6" t="s">
        <v>299</v>
      </c>
    </row>
    <row r="204" spans="1:5" ht="15.75" customHeight="1" x14ac:dyDescent="0.25">
      <c r="A204" s="6" t="s">
        <v>271</v>
      </c>
      <c r="B204" s="9" t="s">
        <v>21</v>
      </c>
      <c r="C204" s="6" t="s">
        <v>16</v>
      </c>
      <c r="D204" s="6">
        <v>4</v>
      </c>
      <c r="E204" s="6" t="s">
        <v>299</v>
      </c>
    </row>
    <row r="205" spans="1:5" ht="15.75" customHeight="1" x14ac:dyDescent="0.25">
      <c r="A205" s="6" t="s">
        <v>272</v>
      </c>
      <c r="B205" s="10" t="s">
        <v>23</v>
      </c>
      <c r="C205" s="6" t="s">
        <v>16</v>
      </c>
      <c r="D205" s="6">
        <v>4</v>
      </c>
      <c r="E205" s="6" t="s">
        <v>24</v>
      </c>
    </row>
    <row r="206" spans="1:5" ht="25.5" customHeight="1" x14ac:dyDescent="0.25">
      <c r="A206" s="4" t="s">
        <v>273</v>
      </c>
      <c r="B206" s="4" t="s">
        <v>274</v>
      </c>
      <c r="C206" s="4" t="s">
        <v>13</v>
      </c>
      <c r="D206" s="5">
        <f>SUM(D207:D208)</f>
        <v>0</v>
      </c>
      <c r="E206" s="4" t="s">
        <v>4</v>
      </c>
    </row>
    <row r="207" spans="1:5" ht="15.75" customHeight="1" x14ac:dyDescent="0.25">
      <c r="A207" s="6" t="s">
        <v>275</v>
      </c>
      <c r="B207" s="8" t="s">
        <v>19</v>
      </c>
      <c r="C207" s="6" t="s">
        <v>16</v>
      </c>
      <c r="D207" s="6">
        <v>0</v>
      </c>
      <c r="E207" s="6" t="s">
        <v>299</v>
      </c>
    </row>
    <row r="208" spans="1:5" ht="15.75" customHeight="1" x14ac:dyDescent="0.25">
      <c r="A208" s="6" t="s">
        <v>276</v>
      </c>
      <c r="B208" s="9" t="s">
        <v>21</v>
      </c>
      <c r="C208" s="6" t="s">
        <v>16</v>
      </c>
      <c r="D208" s="6">
        <v>0</v>
      </c>
      <c r="E208" s="6" t="s">
        <v>299</v>
      </c>
    </row>
    <row r="209" spans="1:5" ht="25.5" customHeight="1" x14ac:dyDescent="0.25">
      <c r="A209" s="4" t="s">
        <v>277</v>
      </c>
      <c r="B209" s="4" t="s">
        <v>278</v>
      </c>
      <c r="C209" s="4" t="s">
        <v>13</v>
      </c>
      <c r="D209" s="5">
        <f>SUM(D210:D211)</f>
        <v>7</v>
      </c>
      <c r="E209" s="4" t="s">
        <v>4</v>
      </c>
    </row>
    <row r="210" spans="1:5" ht="15.75" customHeight="1" x14ac:dyDescent="0.25">
      <c r="A210" s="6" t="s">
        <v>279</v>
      </c>
      <c r="B210" s="8" t="s">
        <v>19</v>
      </c>
      <c r="C210" s="6" t="s">
        <v>16</v>
      </c>
      <c r="D210" s="6">
        <v>4</v>
      </c>
      <c r="E210" s="6" t="s">
        <v>299</v>
      </c>
    </row>
    <row r="211" spans="1:5" ht="15.75" customHeight="1" x14ac:dyDescent="0.25">
      <c r="A211" s="6" t="s">
        <v>280</v>
      </c>
      <c r="B211" s="9" t="s">
        <v>21</v>
      </c>
      <c r="C211" s="6" t="s">
        <v>16</v>
      </c>
      <c r="D211" s="6">
        <v>3</v>
      </c>
      <c r="E211" s="6" t="s">
        <v>299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tabSelected="1" zoomScaleNormal="100" workbookViewId="0">
      <pane ySplit="2" topLeftCell="A3" activePane="bottomLeft" state="frozen"/>
      <selection pane="bottomLeft" activeCell="J9" sqref="J9"/>
    </sheetView>
  </sheetViews>
  <sheetFormatPr defaultColWidth="8.7109375" defaultRowHeight="15" x14ac:dyDescent="0.25"/>
  <cols>
    <col min="1" max="1" width="12" customWidth="1"/>
    <col min="2" max="2" width="42" customWidth="1"/>
    <col min="3" max="3" width="16" customWidth="1"/>
    <col min="4" max="4" width="10" customWidth="1"/>
    <col min="5" max="6" width="4" customWidth="1"/>
    <col min="8" max="8" width="10.85546875" customWidth="1"/>
    <col min="9" max="9" width="22.42578125" bestFit="1" customWidth="1"/>
  </cols>
  <sheetData>
    <row r="1" spans="1:10" ht="27.75" customHeight="1" x14ac:dyDescent="0.25">
      <c r="A1" s="24" t="s">
        <v>281</v>
      </c>
      <c r="B1" s="24"/>
      <c r="C1" s="24"/>
      <c r="D1" s="24"/>
    </row>
    <row r="2" spans="1:10" x14ac:dyDescent="0.25">
      <c r="A2" s="1" t="s">
        <v>0</v>
      </c>
      <c r="B2" s="1" t="s">
        <v>10</v>
      </c>
      <c r="C2" s="1" t="s">
        <v>3</v>
      </c>
      <c r="D2" s="1" t="s">
        <v>282</v>
      </c>
    </row>
    <row r="3" spans="1:10" x14ac:dyDescent="0.25">
      <c r="A3" s="11" t="s">
        <v>8</v>
      </c>
      <c r="B3" s="11" t="s">
        <v>283</v>
      </c>
      <c r="C3" s="12">
        <f>WBS!D3</f>
        <v>48</v>
      </c>
      <c r="D3" s="14">
        <f t="shared" ref="D3:D14" si="0">C3/6</f>
        <v>8</v>
      </c>
      <c r="H3" s="18" t="s">
        <v>296</v>
      </c>
      <c r="I3" s="18" t="s">
        <v>3</v>
      </c>
      <c r="J3" s="19" t="s">
        <v>282</v>
      </c>
    </row>
    <row r="4" spans="1:10" x14ac:dyDescent="0.25">
      <c r="A4" s="11" t="s">
        <v>40</v>
      </c>
      <c r="B4" s="11" t="s">
        <v>284</v>
      </c>
      <c r="C4" s="12">
        <f>WBS!D24</f>
        <v>53</v>
      </c>
      <c r="D4" s="14">
        <f t="shared" si="0"/>
        <v>8.8333333333333339</v>
      </c>
      <c r="H4" s="20" t="s">
        <v>24</v>
      </c>
      <c r="I4" s="21">
        <v>110</v>
      </c>
      <c r="J4" s="22">
        <f>+I4/6</f>
        <v>18.333333333333332</v>
      </c>
    </row>
    <row r="5" spans="1:10" x14ac:dyDescent="0.25">
      <c r="A5" s="11" t="s">
        <v>83</v>
      </c>
      <c r="B5" s="11" t="s">
        <v>285</v>
      </c>
      <c r="C5" s="12">
        <f>WBS!D58</f>
        <v>22</v>
      </c>
      <c r="D5" s="14">
        <f t="shared" si="0"/>
        <v>3.6666666666666665</v>
      </c>
      <c r="H5" s="20" t="s">
        <v>17</v>
      </c>
      <c r="I5" s="21">
        <v>111</v>
      </c>
      <c r="J5" s="22">
        <f t="shared" ref="J5:J7" si="1">+I5/6</f>
        <v>18.5</v>
      </c>
    </row>
    <row r="6" spans="1:10" x14ac:dyDescent="0.25">
      <c r="A6" s="11" t="s">
        <v>104</v>
      </c>
      <c r="B6" s="11" t="s">
        <v>286</v>
      </c>
      <c r="C6" s="12">
        <f>WBS!D75</f>
        <v>26</v>
      </c>
      <c r="D6" s="14">
        <f t="shared" si="0"/>
        <v>4.333333333333333</v>
      </c>
      <c r="H6" s="20" t="s">
        <v>295</v>
      </c>
      <c r="I6" s="21">
        <v>100</v>
      </c>
      <c r="J6" s="22">
        <f t="shared" si="1"/>
        <v>16.666666666666668</v>
      </c>
    </row>
    <row r="7" spans="1:10" x14ac:dyDescent="0.25">
      <c r="A7" s="11" t="s">
        <v>127</v>
      </c>
      <c r="B7" s="11" t="s">
        <v>287</v>
      </c>
      <c r="C7" s="12">
        <f>WBS!D93</f>
        <v>54</v>
      </c>
      <c r="D7" s="14">
        <f t="shared" si="0"/>
        <v>9</v>
      </c>
      <c r="H7" s="20" t="s">
        <v>299</v>
      </c>
      <c r="I7" s="21">
        <v>79</v>
      </c>
      <c r="J7" s="22">
        <f t="shared" si="1"/>
        <v>13.166666666666666</v>
      </c>
    </row>
    <row r="8" spans="1:10" x14ac:dyDescent="0.25">
      <c r="A8" s="11" t="s">
        <v>155</v>
      </c>
      <c r="B8" s="11" t="s">
        <v>288</v>
      </c>
      <c r="C8" s="12">
        <f>WBS!D115</f>
        <v>33</v>
      </c>
      <c r="D8" s="14">
        <f t="shared" si="0"/>
        <v>5.5</v>
      </c>
      <c r="H8" s="23" t="s">
        <v>297</v>
      </c>
      <c r="I8" s="18">
        <v>400</v>
      </c>
      <c r="J8" s="22">
        <f>MAX(J4:J7)</f>
        <v>18.5</v>
      </c>
    </row>
    <row r="9" spans="1:10" x14ac:dyDescent="0.25">
      <c r="A9" s="11" t="s">
        <v>178</v>
      </c>
      <c r="B9" s="11" t="s">
        <v>289</v>
      </c>
      <c r="C9" s="12">
        <f>WBS!D133</f>
        <v>37</v>
      </c>
      <c r="D9" s="14">
        <f t="shared" si="0"/>
        <v>6.166666666666667</v>
      </c>
    </row>
    <row r="10" spans="1:10" x14ac:dyDescent="0.25">
      <c r="A10" s="11" t="s">
        <v>205</v>
      </c>
      <c r="B10" s="11" t="s">
        <v>290</v>
      </c>
      <c r="C10" s="12">
        <f>WBS!D153</f>
        <v>64</v>
      </c>
      <c r="D10" s="14">
        <f t="shared" si="0"/>
        <v>10.666666666666666</v>
      </c>
    </row>
    <row r="11" spans="1:10" x14ac:dyDescent="0.25">
      <c r="A11" s="11" t="s">
        <v>233</v>
      </c>
      <c r="B11" s="11" t="s">
        <v>291</v>
      </c>
      <c r="C11" s="12">
        <f>WBS!D175</f>
        <v>24</v>
      </c>
      <c r="D11" s="14">
        <f t="shared" si="0"/>
        <v>4</v>
      </c>
    </row>
    <row r="12" spans="1:10" x14ac:dyDescent="0.25">
      <c r="A12" s="11" t="s">
        <v>255</v>
      </c>
      <c r="B12" s="11" t="s">
        <v>292</v>
      </c>
      <c r="C12" s="12">
        <f>WBS!D193</f>
        <v>6</v>
      </c>
      <c r="D12" s="14">
        <f t="shared" si="0"/>
        <v>1</v>
      </c>
    </row>
    <row r="13" spans="1:10" x14ac:dyDescent="0.25">
      <c r="A13" s="11" t="s">
        <v>260</v>
      </c>
      <c r="B13" s="11" t="s">
        <v>293</v>
      </c>
      <c r="C13" s="12">
        <f>WBS!D196</f>
        <v>33</v>
      </c>
      <c r="D13" s="14">
        <f t="shared" si="0"/>
        <v>5.5</v>
      </c>
    </row>
    <row r="14" spans="1:10" x14ac:dyDescent="0.25">
      <c r="A14" s="13"/>
      <c r="B14" s="3" t="s">
        <v>294</v>
      </c>
      <c r="C14" s="13">
        <f>SUM(C3:C13)</f>
        <v>400</v>
      </c>
      <c r="D14" s="15">
        <f t="shared" si="0"/>
        <v>66.666666666666671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WBS</vt:lpstr>
      <vt:lpstr>Epic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Parth Jani</cp:lastModifiedBy>
  <cp:revision>0</cp:revision>
  <dcterms:created xsi:type="dcterms:W3CDTF">2026-06-30T11:47:55Z</dcterms:created>
  <dcterms:modified xsi:type="dcterms:W3CDTF">2026-07-06T04:55:12Z</dcterms:modified>
  <dc:language>en-US</dc:language>
</cp:coreProperties>
</file>
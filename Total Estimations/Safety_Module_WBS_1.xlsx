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.254\smart solution\Documents\HiMapp\Total Estimations\"/>
    </mc:Choice>
  </mc:AlternateContent>
  <xr:revisionPtr revIDLastSave="0" documentId="13_ncr:1_{5FE5C7C0-72D0-4257-BCF8-F1F449378155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Sheet1" sheetId="3" r:id="rId1"/>
    <sheet name="WBS" sheetId="1" r:id="rId2"/>
    <sheet name="Epic Timeline" sheetId="2" r:id="rId3"/>
  </sheets>
  <definedNames>
    <definedName name="_xlnm._FilterDatabase" localSheetId="1" hidden="1">WBS!$A$1:$E$188</definedName>
  </definedNames>
  <calcPr calcId="191029"/>
  <pivotCaches>
    <pivotCache cacheId="0" r:id="rId4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2" l="1"/>
  <c r="I5" i="2"/>
  <c r="I6" i="2"/>
  <c r="I7" i="2"/>
  <c r="I4" i="2"/>
  <c r="D91" i="1"/>
  <c r="D3" i="2"/>
  <c r="D4" i="2"/>
  <c r="D5" i="2"/>
  <c r="D6" i="2"/>
  <c r="D7" i="2"/>
  <c r="D8" i="2"/>
  <c r="D9" i="2"/>
  <c r="D10" i="2"/>
  <c r="C11" i="2"/>
  <c r="D11" i="2" s="1"/>
  <c r="D184" i="1"/>
  <c r="D179" i="1"/>
  <c r="D174" i="1"/>
  <c r="D170" i="1"/>
  <c r="D166" i="1"/>
  <c r="D160" i="1"/>
  <c r="D155" i="1"/>
  <c r="D150" i="1"/>
  <c r="D145" i="1"/>
  <c r="D140" i="1"/>
  <c r="D135" i="1"/>
  <c r="D131" i="1"/>
  <c r="D127" i="1"/>
  <c r="D123" i="1"/>
  <c r="D119" i="1"/>
  <c r="D115" i="1"/>
  <c r="D111" i="1"/>
  <c r="D107" i="1"/>
  <c r="D103" i="1"/>
  <c r="D95" i="1"/>
  <c r="D99" i="1"/>
  <c r="D87" i="1"/>
  <c r="D83" i="1"/>
  <c r="D79" i="1"/>
  <c r="D74" i="1"/>
  <c r="D69" i="1"/>
  <c r="D65" i="1"/>
  <c r="D61" i="1"/>
  <c r="D57" i="1"/>
  <c r="D52" i="1"/>
  <c r="D47" i="1"/>
  <c r="D43" i="1"/>
  <c r="D39" i="1"/>
  <c r="D35" i="1"/>
  <c r="D30" i="1"/>
  <c r="D25" i="1"/>
  <c r="D21" i="1"/>
  <c r="D17" i="1"/>
  <c r="D13" i="1"/>
  <c r="D9" i="1"/>
  <c r="D4" i="1"/>
</calcChain>
</file>

<file path=xl/sharedStrings.xml><?xml version="1.0" encoding="utf-8"?>
<sst xmlns="http://schemas.openxmlformats.org/spreadsheetml/2006/main" count="742" uniqueCount="269">
  <si>
    <t>WBS ID</t>
  </si>
  <si>
    <t>Task Name</t>
  </si>
  <si>
    <t>Type</t>
  </si>
  <si>
    <t>Estimated Hours</t>
  </si>
  <si>
    <t>1</t>
  </si>
  <si>
    <t>HIMAPP 2.0 — Safety Module Implementation</t>
  </si>
  <si>
    <t>Project</t>
  </si>
  <si>
    <t>1.1</t>
  </si>
  <si>
    <t xml:space="preserve">    Epic 1: Safety Induction</t>
  </si>
  <si>
    <t>Epic</t>
  </si>
  <si>
    <t>1.1.1</t>
  </si>
  <si>
    <t>User Story</t>
  </si>
  <si>
    <t>1.1.1.1</t>
  </si>
  <si>
    <t xml:space="preserve">            Database</t>
  </si>
  <si>
    <t>Task</t>
  </si>
  <si>
    <t>1.1.1.2</t>
  </si>
  <si>
    <t xml:space="preserve">            Backend API</t>
  </si>
  <si>
    <t>1.1.1.3</t>
  </si>
  <si>
    <t xml:space="preserve">            Web Front End</t>
  </si>
  <si>
    <t>1.1.1.4</t>
  </si>
  <si>
    <t xml:space="preserve">            Mobile</t>
  </si>
  <si>
    <t>1.1.3</t>
  </si>
  <si>
    <t xml:space="preserve">        US-03: Labourer Provides Signature or Thumbprint Acknowledgement</t>
  </si>
  <si>
    <t>1.1.3.2</t>
  </si>
  <si>
    <t>1.1.3.3</t>
  </si>
  <si>
    <t>1.1.3.4</t>
  </si>
  <si>
    <t>1.1.4</t>
  </si>
  <si>
    <t xml:space="preserve">        US-04: Manage Induction Topic Library with Free-Text Add</t>
  </si>
  <si>
    <t>1.1.4.2</t>
  </si>
  <si>
    <t>1.1.4.3</t>
  </si>
  <si>
    <t>1.1.4.4</t>
  </si>
  <si>
    <t>1.1.5</t>
  </si>
  <si>
    <t xml:space="preserve">        US-05: System Calculates Per-Person Induction Validity with Override</t>
  </si>
  <si>
    <t>1.1.5.2</t>
  </si>
  <si>
    <t>1.1.5.3</t>
  </si>
  <si>
    <t>1.1.5.4</t>
  </si>
  <si>
    <t>1.1.7</t>
  </si>
  <si>
    <t xml:space="preserve">        US-07: Issue First-Time PPE Inline on Induction Screen</t>
  </si>
  <si>
    <t>1.1.7.2</t>
  </si>
  <si>
    <t>1.1.7.3</t>
  </si>
  <si>
    <t>1.1.7.4</t>
  </si>
  <si>
    <t>1.1.8</t>
  </si>
  <si>
    <t>1.1.8.2</t>
  </si>
  <si>
    <t>1.1.8.3</t>
  </si>
  <si>
    <t>1.1.8.4</t>
  </si>
  <si>
    <t>1.2</t>
  </si>
  <si>
    <t xml:space="preserve">    Epic 2: Labour Tests &amp; Medical Records (BOCW)</t>
  </si>
  <si>
    <t>1.2.1</t>
  </si>
  <si>
    <t xml:space="preserve">        US-09: Configure Project-Level Labour Test Requirements</t>
  </si>
  <si>
    <t>1.2.1.1</t>
  </si>
  <si>
    <t>1.2.1.2</t>
  </si>
  <si>
    <t>1.2.1.3</t>
  </si>
  <si>
    <t>1.2.1.4</t>
  </si>
  <si>
    <t>1.2.2</t>
  </si>
  <si>
    <t>1.2.2.2</t>
  </si>
  <si>
    <t>1.2.2.3</t>
  </si>
  <si>
    <t>1.2.2.4</t>
  </si>
  <si>
    <t>1.2.3</t>
  </si>
  <si>
    <t xml:space="preserve">        US-11: Doctor Creates Medical Test Record (Form XI / BOCW)</t>
  </si>
  <si>
    <t>1.2.3.2</t>
  </si>
  <si>
    <t>1.2.3.3</t>
  </si>
  <si>
    <t>1.2.3.4</t>
  </si>
  <si>
    <t>1.2.5</t>
  </si>
  <si>
    <t xml:space="preserve">        US-13: Track Pending Medical Examinations with Dashboard KPI</t>
  </si>
  <si>
    <t>1.2.5.2</t>
  </si>
  <si>
    <t>1.2.5.3</t>
  </si>
  <si>
    <t>1.2.5.4</t>
  </si>
  <si>
    <t>1.2.6</t>
  </si>
  <si>
    <t xml:space="preserve">        US-14: Maintain Multiple Permanent Medical Records per Labourer</t>
  </si>
  <si>
    <t>1.2.6.2</t>
  </si>
  <si>
    <t>1.2.6.3</t>
  </si>
  <si>
    <t>1.2.6.4</t>
  </si>
  <si>
    <t>1.3</t>
  </si>
  <si>
    <t xml:space="preserve">    Epic 3: PPE Issuance</t>
  </si>
  <si>
    <t>1.3.1</t>
  </si>
  <si>
    <t xml:space="preserve">        US-15: Configure PPE Master with Labour Type Baseline Mapping</t>
  </si>
  <si>
    <t>1.3.1.1</t>
  </si>
  <si>
    <t>1.3.1.2</t>
  </si>
  <si>
    <t>1.3.1.3</t>
  </si>
  <si>
    <t>1.3.1.4</t>
  </si>
  <si>
    <t>1.3.2</t>
  </si>
  <si>
    <t xml:space="preserve">        US-16: Issue PPE via Person-First or Contractor-First Mode</t>
  </si>
  <si>
    <t>1.3.2.2</t>
  </si>
  <si>
    <t>1.3.2.3</t>
  </si>
  <si>
    <t>1.3.2.4</t>
  </si>
  <si>
    <t>1.3.3</t>
  </si>
  <si>
    <t xml:space="preserve">        US-17: Enforce First Issue / Replacement / Additional Issuance Rule</t>
  </si>
  <si>
    <t>1.3.3.2</t>
  </si>
  <si>
    <t>1.3.3.3</t>
  </si>
  <si>
    <t>1.3.3.4</t>
  </si>
  <si>
    <t>1.3.4</t>
  </si>
  <si>
    <t xml:space="preserve">        US-18: Auto-Consolidate PPE Issuance into Contractor-Wise MRIS</t>
  </si>
  <si>
    <t>1.3.4.2</t>
  </si>
  <si>
    <t>1.3.4.3</t>
  </si>
  <si>
    <t>1.3.4.4</t>
  </si>
  <si>
    <t>1.3.5</t>
  </si>
  <si>
    <t xml:space="preserve">        US-19: Update Clearance Flag on First Issue Confirmation</t>
  </si>
  <si>
    <t>1.3.5.2</t>
  </si>
  <si>
    <t>1.3.5.3</t>
  </si>
  <si>
    <t>1.3.5.4</t>
  </si>
  <si>
    <t>1.4</t>
  </si>
  <si>
    <t xml:space="preserve">    Epic 4: Entry Pass &amp; Overall Clearance</t>
  </si>
  <si>
    <t>1.4.1</t>
  </si>
  <si>
    <t xml:space="preserve">        US-21: System Calculates Overall Clearance from Three Conditions</t>
  </si>
  <si>
    <t>1.4.1.1</t>
  </si>
  <si>
    <t>1.4.1.2</t>
  </si>
  <si>
    <t>1.4.1.3</t>
  </si>
  <si>
    <t>1.4.1.4</t>
  </si>
  <si>
    <t>1.4.2</t>
  </si>
  <si>
    <t xml:space="preserve">        US-22: Admin Issues Entry Pass Gated on Overall Clearance</t>
  </si>
  <si>
    <t>1.4.2.2</t>
  </si>
  <si>
    <t>1.4.2.3</t>
  </si>
  <si>
    <t>1.4.2.4</t>
  </si>
  <si>
    <t>1.4.3</t>
  </si>
  <si>
    <t xml:space="preserve">        US-23: Admin Overrides Not-Cleared Status with Mandatory Reason</t>
  </si>
  <si>
    <t>1.4.3.2</t>
  </si>
  <si>
    <t>1.4.3.3</t>
  </si>
  <si>
    <t>1.4.3.4</t>
  </si>
  <si>
    <t>1.4.4</t>
  </si>
  <si>
    <t xml:space="preserve">        US-24: Admin Revokes Entry Pass</t>
  </si>
  <si>
    <t>1.4.4.2</t>
  </si>
  <si>
    <t>1.4.4.3</t>
  </si>
  <si>
    <t>1.4.4.4</t>
  </si>
  <si>
    <t>1.4.5</t>
  </si>
  <si>
    <t xml:space="preserve">        US-25: Periodic Entry Pass Reconciliation Report</t>
  </si>
  <si>
    <t>1.4.5.2</t>
  </si>
  <si>
    <t>1.4.5.3</t>
  </si>
  <si>
    <t>1.5</t>
  </si>
  <si>
    <t xml:space="preserve">    Epic 5: Work Permit (PTW)</t>
  </si>
  <si>
    <t>1.5.1</t>
  </si>
  <si>
    <t xml:space="preserve">        US-26: Configure Permit Type Master with Classification Rules</t>
  </si>
  <si>
    <t>1.5.1.1</t>
  </si>
  <si>
    <t>1.5.1.2</t>
  </si>
  <si>
    <t>1.5.1.3</t>
  </si>
  <si>
    <t>1.5.2</t>
  </si>
  <si>
    <t xml:space="preserve">        US-27: Requestor Initiates PTW Request</t>
  </si>
  <si>
    <t>1.5.2.2</t>
  </si>
  <si>
    <t>1.5.2.3</t>
  </si>
  <si>
    <t>1.5.2.4</t>
  </si>
  <si>
    <t>1.5.5</t>
  </si>
  <si>
    <t xml:space="preserve">        US-30: Fresh Checklist Every Time with Copy-From-Previous for Static Fields Only</t>
  </si>
  <si>
    <t>1.5.5.2</t>
  </si>
  <si>
    <t>1.5.5.3</t>
  </si>
  <si>
    <t>1.5.5.4</t>
  </si>
  <si>
    <t>1.5.6</t>
  </si>
  <si>
    <t xml:space="preserve">        US-31: Enforce L1 and L2 Dual Approval Workflow</t>
  </si>
  <si>
    <t>1.5.6.2</t>
  </si>
  <si>
    <t>1.5.6.3</t>
  </si>
  <si>
    <t>1.5.6.4</t>
  </si>
  <si>
    <t>1.5.7</t>
  </si>
  <si>
    <t xml:space="preserve">        US-32: Compliance Counting and Notification Suppression for Multi-Day Permits</t>
  </si>
  <si>
    <t>1.5.7.2</t>
  </si>
  <si>
    <t>1.5.7.3</t>
  </si>
  <si>
    <t>1.5.7.4</t>
  </si>
  <si>
    <t>1.5.8</t>
  </si>
  <si>
    <t xml:space="preserve">        US-33: Requestor Extends Active Permit Unilaterally</t>
  </si>
  <si>
    <t>1.5.8.2</t>
  </si>
  <si>
    <t>1.5.8.3</t>
  </si>
  <si>
    <t>1.5.8.4</t>
  </si>
  <si>
    <t>1.5.9</t>
  </si>
  <si>
    <t xml:space="preserve">        US-34: SSO Places and Releases Hold Without Consuming Validity</t>
  </si>
  <si>
    <t>1.5.9.2</t>
  </si>
  <si>
    <t>1.5.9.3</t>
  </si>
  <si>
    <t>1.5.9.4</t>
  </si>
  <si>
    <t>1.5.10</t>
  </si>
  <si>
    <t xml:space="preserve">        US-35: EHS Manager Issues and Releases Work Stop</t>
  </si>
  <si>
    <t>1.5.10.2</t>
  </si>
  <si>
    <t>1.5.10.3</t>
  </si>
  <si>
    <t>1.5.10.4</t>
  </si>
  <si>
    <t>1.5.11</t>
  </si>
  <si>
    <t xml:space="preserve">        US-36: Two-Party Closure of Completed Permit</t>
  </si>
  <si>
    <t>1.5.11.2</t>
  </si>
  <si>
    <t>1.5.11.3</t>
  </si>
  <si>
    <t>1.5.11.4</t>
  </si>
  <si>
    <t>1.5.12</t>
  </si>
  <si>
    <t xml:space="preserve">        US-37: System Auto-Expires Permit and Calculates Compliance %</t>
  </si>
  <si>
    <t>1.5.12.2</t>
  </si>
  <si>
    <t>1.5.12.3</t>
  </si>
  <si>
    <t>1.5.12.4</t>
  </si>
  <si>
    <t>1.5.13</t>
  </si>
  <si>
    <t xml:space="preserve">        US-38: PTW Notification Matrix Across the Approval and Execution Lifecycle</t>
  </si>
  <si>
    <t>1.5.13.2</t>
  </si>
  <si>
    <t>1.5.13.3</t>
  </si>
  <si>
    <t>1.5.13.4</t>
  </si>
  <si>
    <t>1.7</t>
  </si>
  <si>
    <t xml:space="preserve">    Epic 7: Checklist &amp; Rating Enhancements</t>
  </si>
  <si>
    <t>1.7.1</t>
  </si>
  <si>
    <t xml:space="preserve">        US-49: Configure Photo-Mandatory Toggle per Checklist Point</t>
  </si>
  <si>
    <t>1.7.1.1</t>
  </si>
  <si>
    <t>1.7.1.2</t>
  </si>
  <si>
    <t>1.7.1.3</t>
  </si>
  <si>
    <t>1.7.1.4</t>
  </si>
  <si>
    <t>1.7.2</t>
  </si>
  <si>
    <t xml:space="preserve">        US-50: Configure Project-Level Checklist Approver</t>
  </si>
  <si>
    <t>1.7.2.1</t>
  </si>
  <si>
    <t>1.7.2.2</t>
  </si>
  <si>
    <t>1.7.2.3</t>
  </si>
  <si>
    <t>1.7.2.4</t>
  </si>
  <si>
    <t>1.7.3</t>
  </si>
  <si>
    <t xml:space="preserve">        US-51: Add Comments Throughout Checklist Lifecycle</t>
  </si>
  <si>
    <t>1.7.3.1</t>
  </si>
  <si>
    <t>1.7.3.2</t>
  </si>
  <si>
    <t>1.7.3.3</t>
  </si>
  <si>
    <t>1.7.3.4</t>
  </si>
  <si>
    <t>1.7.4</t>
  </si>
  <si>
    <t xml:space="preserve">        US-52: Enforce Rating Immutability on New Submission</t>
  </si>
  <si>
    <t>1.7.4.1</t>
  </si>
  <si>
    <t>1.7.4.2</t>
  </si>
  <si>
    <t>1.7.4.3</t>
  </si>
  <si>
    <t>1.7.4.4</t>
  </si>
  <si>
    <t>1.7.5</t>
  </si>
  <si>
    <t xml:space="preserve">        US-53: Configure Target CCP Score per Project Rating Template</t>
  </si>
  <si>
    <t>1.7.5.1</t>
  </si>
  <si>
    <t>1.7.5.2</t>
  </si>
  <si>
    <t>1.7.5.3</t>
  </si>
  <si>
    <t>1.7.5.4</t>
  </si>
  <si>
    <t>1.8</t>
  </si>
  <si>
    <t xml:space="preserve">    Epic 8: Safety MIS &amp; Dashboards</t>
  </si>
  <si>
    <t>1.8.1</t>
  </si>
  <si>
    <t xml:space="preserve">        US-54: User Dashboard with My Tasks and Permits</t>
  </si>
  <si>
    <t>1.8.1.2</t>
  </si>
  <si>
    <t>1.8.1.3</t>
  </si>
  <si>
    <t>1.8.1.4</t>
  </si>
  <si>
    <t>1.8.2</t>
  </si>
  <si>
    <t xml:space="preserve">        US-55: Project Dashboard Across All Three Tracks</t>
  </si>
  <si>
    <t>1.8.2.2</t>
  </si>
  <si>
    <t>1.8.2.3</t>
  </si>
  <si>
    <t>1.8.2.4</t>
  </si>
  <si>
    <t>1.8.3</t>
  </si>
  <si>
    <t xml:space="preserve">        US-56: Management Cross-Project Dashboard with Trends</t>
  </si>
  <si>
    <t>1.8.3.2</t>
  </si>
  <si>
    <t>1.8.3.3</t>
  </si>
  <si>
    <t>1.8.3.4</t>
  </si>
  <si>
    <t>1.9</t>
  </si>
  <si>
    <t>1.9.2</t>
  </si>
  <si>
    <t xml:space="preserve">        US-59: Consume Labour Registration Data from Admin Module</t>
  </si>
  <si>
    <t>1.9.2.1</t>
  </si>
  <si>
    <t>1.9.2.2</t>
  </si>
  <si>
    <t>1.9.2.3</t>
  </si>
  <si>
    <t>1.9.2.4</t>
  </si>
  <si>
    <t>1.9.4</t>
  </si>
  <si>
    <t xml:space="preserve">        US-61: Convert PPE Issuance to MRIS via D365 Write Integration</t>
  </si>
  <si>
    <t>1.9.4.1</t>
  </si>
  <si>
    <t>1.9.4.2</t>
  </si>
  <si>
    <t>1.9.4.3</t>
  </si>
  <si>
    <t>1.9.4.4</t>
  </si>
  <si>
    <t>HIMAPP 2.0 SAFETY MODULE — EPIC-LEVEL TIMELINE</t>
  </si>
  <si>
    <t>Epic 1: Safety Induction</t>
  </si>
  <si>
    <t>Epic 2: Labour Tests &amp; Medical Records (BOCW)</t>
  </si>
  <si>
    <t>Epic 3: PPE Issuance</t>
  </si>
  <si>
    <t>Epic 4: Entry Pass &amp; Overall Clearance</t>
  </si>
  <si>
    <t>Epic 5: Work Permit (PTW)</t>
  </si>
  <si>
    <t>Epic 7: Checklist &amp; Rating Enhancements</t>
  </si>
  <si>
    <t>Epic 8: Safety MIS &amp; Dashboards</t>
  </si>
  <si>
    <t>Epic 9: Roles, Integrations &amp; NFRs</t>
  </si>
  <si>
    <t>PROJECT TOTAL</t>
  </si>
  <si>
    <t xml:space="preserve">    Epic 9:Integrations &amp; NFRs</t>
  </si>
  <si>
    <t xml:space="preserve">        US-01: Creates Group Induction Session</t>
  </si>
  <si>
    <t xml:space="preserve">        US-08: Pending Induction List Auto-Populated from Registrations</t>
  </si>
  <si>
    <t>Developer</t>
  </si>
  <si>
    <t>Parth Jani</t>
  </si>
  <si>
    <t>Ronak</t>
  </si>
  <si>
    <t>Soumy</t>
  </si>
  <si>
    <t>Hardik</t>
  </si>
  <si>
    <t>Grand Total</t>
  </si>
  <si>
    <t>Days</t>
  </si>
  <si>
    <t xml:space="preserve">        US-10: Hard Block PPE Issuance on Pending or Failed Mandatory Test Status Change to Fail</t>
  </si>
  <si>
    <t>Row Labels</t>
  </si>
  <si>
    <t>Sum of Estimated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</si>
</sst>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.5"/>
      <color rgb="FFFFFFFF"/>
      <name val="Arial"/>
      <charset val="1"/>
    </font>
    <font>
      <b/>
      <sz val="9.5"/>
      <color rgb="FF1A1A1A"/>
      <name val="Arial"/>
      <charset val="1"/>
    </font>
    <font>
      <sz val="9"/>
      <color rgb="FF1A1A1A"/>
      <name val="Arial"/>
      <charset val="1"/>
    </font>
    <font>
      <b/>
      <sz val="9"/>
      <color rgb="FF6A1B9A"/>
      <name val="Arial"/>
      <charset val="1"/>
    </font>
    <font>
      <b/>
      <sz val="9"/>
      <color rgb="FF1565C0"/>
      <name val="Arial"/>
      <charset val="1"/>
    </font>
    <font>
      <b/>
      <sz val="9"/>
      <color rgb="FF00838F"/>
      <name val="Arial"/>
      <charset val="1"/>
    </font>
    <font>
      <b/>
      <sz val="9"/>
      <color rgb="FF2E7D32"/>
      <name val="Arial"/>
      <charset val="1"/>
    </font>
    <font>
      <b/>
      <sz val="13"/>
      <color rgb="FFFFFFFF"/>
      <name val="Arial"/>
      <charset val="1"/>
    </font>
    <font>
      <sz val="10"/>
      <color rgb="FF1A1A1A"/>
      <name val="Arial"/>
      <charset val="1"/>
    </font>
    <font>
      <b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1565C0"/>
        <bgColor rgb="FF3366FF"/>
      </patternFill>
    </fill>
    <fill>
      <patternFill patternType="solid">
        <fgColor rgb="FFDCE8F5"/>
        <bgColor rgb="FFE3F2FD"/>
      </patternFill>
    </fill>
    <fill>
      <patternFill patternType="solid">
        <fgColor rgb="FFFFFFFF"/>
        <bgColor rgb="FFFFF3E0"/>
      </patternFill>
    </fill>
    <fill>
      <patternFill patternType="solid">
        <fgColor rgb="FFF3E5F5"/>
        <bgColor rgb="FFDCE8F5"/>
      </patternFill>
    </fill>
    <fill>
      <patternFill patternType="solid">
        <fgColor rgb="FFE3F2FD"/>
        <bgColor rgb="FFE0F7FA"/>
      </patternFill>
    </fill>
    <fill>
      <patternFill patternType="solid">
        <fgColor rgb="FFE0F7FA"/>
        <bgColor rgb="FFE3F2FD"/>
      </patternFill>
    </fill>
    <fill>
      <patternFill patternType="solid">
        <fgColor rgb="FFE8F5E9"/>
        <bgColor rgb="FFE0F7FA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" fontId="1" fillId="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11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10" borderId="2" xfId="0" applyFont="1" applyFill="1" applyBorder="1"/>
    <xf numFmtId="0" fontId="12" fillId="10" borderId="3" xfId="0" applyFont="1" applyFill="1" applyBorder="1" applyAlignment="1">
      <alignment horizontal="left"/>
    </xf>
    <xf numFmtId="0" fontId="12" fillId="10" borderId="3" xfId="0" applyFont="1" applyFill="1" applyBorder="1"/>
    <xf numFmtId="1" fontId="0" fillId="0" borderId="0" xfId="0" applyNumberFormat="1"/>
    <xf numFmtId="0" fontId="10" fillId="2" borderId="0" xfId="0" applyFont="1" applyFill="1" applyAlignment="1">
      <alignment horizontal="left" vertical="center" indent="1"/>
    </xf>
    <xf numFmtId="0" fontId="12" fillId="10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6B00"/>
      <rgbColor rgb="FF6A1B9A"/>
      <rgbColor rgb="FF00838F"/>
      <rgbColor rgb="FFDCE8F5"/>
      <rgbColor rgb="FF808080"/>
      <rgbColor rgb="FF9999FF"/>
      <rgbColor rgb="FF993366"/>
      <rgbColor rgb="FFFFF3E0"/>
      <rgbColor rgb="FFE0F7FA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F99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Jani" refreshedDate="46206.832845370373" createdVersion="8" refreshedVersion="8" minRefreshableVersion="3" recordCount="187" xr:uid="{96216837-BE21-49E8-A1CE-A611379B50F2}">
  <cacheSource type="worksheet">
    <worksheetSource ref="A1:E188" sheet="WBS"/>
  </cacheSource>
  <cacheFields count="6">
    <cacheField name="WBS ID" numFmtId="0">
      <sharedItems/>
    </cacheField>
    <cacheField name="Task Name" numFmtId="0">
      <sharedItems/>
    </cacheField>
    <cacheField name="Type" numFmtId="0">
      <sharedItems count="4">
        <s v="Project"/>
        <s v="Epic"/>
        <s v="User Story"/>
        <s v="Task"/>
      </sharedItems>
    </cacheField>
    <cacheField name="Estimated Hours" numFmtId="0">
      <sharedItems containsString="0" containsBlank="1" containsNumber="1" containsInteger="1" minValue="1" maxValue="129"/>
    </cacheField>
    <cacheField name="Predecessor" numFmtId="0">
      <sharedItems containsBlank="1"/>
    </cacheField>
    <cacheField name="Developer" numFmtId="0">
      <sharedItems containsBlank="1" count="6">
        <m/>
        <s v="Developer"/>
        <s v="Ronak"/>
        <s v="Parth Jani"/>
        <s v="Hardik"/>
        <s v="Soum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s v="1"/>
    <s v="HIMAPP 2.0 — Safety Module Implementation"/>
    <x v="0"/>
    <m/>
    <m/>
    <x v="0"/>
  </r>
  <r>
    <s v="1.1"/>
    <s v="    Epic 1: Safety Induction"/>
    <x v="1"/>
    <n v="84"/>
    <m/>
    <x v="0"/>
  </r>
  <r>
    <s v="1.1.1"/>
    <s v="        US-01: Creates Group Induction Session"/>
    <x v="2"/>
    <n v="18"/>
    <m/>
    <x v="1"/>
  </r>
  <r>
    <s v="1.1.1.1"/>
    <s v="            Database"/>
    <x v="3"/>
    <n v="6"/>
    <s v="1.1"/>
    <x v="2"/>
  </r>
  <r>
    <s v="1.1.1.2"/>
    <s v="            Backend API"/>
    <x v="3"/>
    <n v="4"/>
    <s v="1.1.1.1"/>
    <x v="2"/>
  </r>
  <r>
    <s v="1.1.1.3"/>
    <s v="            Web Front End"/>
    <x v="3"/>
    <n v="4"/>
    <s v="1.1.1.2"/>
    <x v="3"/>
  </r>
  <r>
    <s v="1.1.1.4"/>
    <s v="            Mobile"/>
    <x v="3"/>
    <n v="4"/>
    <s v="1.1.1.3"/>
    <x v="4"/>
  </r>
  <r>
    <s v="1.1.3"/>
    <s v="        US-03: Labourer Provides Signature or Thumbprint Acknowledgement"/>
    <x v="2"/>
    <n v="24"/>
    <s v="1.1.2"/>
    <x v="0"/>
  </r>
  <r>
    <s v="1.1.3.2"/>
    <s v="            Backend API"/>
    <x v="3"/>
    <n v="4"/>
    <s v="1.1.3.1"/>
    <x v="2"/>
  </r>
  <r>
    <s v="1.1.3.3"/>
    <s v="            Web Front End"/>
    <x v="3"/>
    <n v="10"/>
    <s v="1.1.3.2"/>
    <x v="3"/>
  </r>
  <r>
    <s v="1.1.3.4"/>
    <s v="            Mobile"/>
    <x v="3"/>
    <n v="10"/>
    <s v="1.1.3.3"/>
    <x v="4"/>
  </r>
  <r>
    <s v="1.1.4"/>
    <s v="        US-04: Manage Induction Topic Library with Free-Text Add"/>
    <x v="2"/>
    <n v="11"/>
    <s v="1.1.3"/>
    <x v="0"/>
  </r>
  <r>
    <s v="1.1.4.2"/>
    <s v="            Backend API"/>
    <x v="3"/>
    <n v="4"/>
    <s v="1.1.4.1"/>
    <x v="2"/>
  </r>
  <r>
    <s v="1.1.4.3"/>
    <s v="            Web Front End"/>
    <x v="3"/>
    <n v="4"/>
    <s v="1.1.4.2"/>
    <x v="3"/>
  </r>
  <r>
    <s v="1.1.4.4"/>
    <s v="            Mobile"/>
    <x v="3"/>
    <n v="3"/>
    <s v="1.1.4.3"/>
    <x v="4"/>
  </r>
  <r>
    <s v="1.1.5"/>
    <s v="        US-05: System Calculates Per-Person Induction Validity with Override"/>
    <x v="2"/>
    <n v="6"/>
    <s v="1.1.4"/>
    <x v="0"/>
  </r>
  <r>
    <s v="1.1.5.2"/>
    <s v="            Backend API"/>
    <x v="3"/>
    <n v="2"/>
    <s v="1.1.5.1"/>
    <x v="2"/>
  </r>
  <r>
    <s v="1.1.5.3"/>
    <s v="            Web Front End"/>
    <x v="3"/>
    <n v="2"/>
    <s v="1.1.5.2"/>
    <x v="3"/>
  </r>
  <r>
    <s v="1.1.5.4"/>
    <s v="            Mobile"/>
    <x v="3"/>
    <n v="2"/>
    <s v="1.1.5.3"/>
    <x v="4"/>
  </r>
  <r>
    <s v="1.1.7"/>
    <s v="        US-07: Issue First-Time PPE Inline on Induction Screen"/>
    <x v="2"/>
    <n v="18"/>
    <s v="1.1.6"/>
    <x v="0"/>
  </r>
  <r>
    <s v="1.1.7.2"/>
    <s v="            Backend API"/>
    <x v="3"/>
    <n v="6"/>
    <s v="1.1.7.1"/>
    <x v="2"/>
  </r>
  <r>
    <s v="1.1.7.3"/>
    <s v="            Web Front End"/>
    <x v="3"/>
    <n v="6"/>
    <s v="1.1.7.2"/>
    <x v="3"/>
  </r>
  <r>
    <s v="1.1.7.4"/>
    <s v="            Mobile"/>
    <x v="3"/>
    <n v="6"/>
    <s v="1.1.7.3"/>
    <x v="4"/>
  </r>
  <r>
    <s v="1.1.8"/>
    <s v="        US-08: Pending Induction List Auto-Populated from Registrations"/>
    <x v="2"/>
    <n v="7"/>
    <s v="1.1.7"/>
    <x v="0"/>
  </r>
  <r>
    <s v="1.1.8.2"/>
    <s v="            Backend API"/>
    <x v="3"/>
    <n v="2"/>
    <s v="1.1.8.1"/>
    <x v="2"/>
  </r>
  <r>
    <s v="1.1.8.3"/>
    <s v="            Web Front End"/>
    <x v="3"/>
    <n v="2"/>
    <s v="1.1.8.2"/>
    <x v="3"/>
  </r>
  <r>
    <s v="1.1.8.4"/>
    <s v="            Mobile"/>
    <x v="3"/>
    <n v="3"/>
    <s v="1.1.8.3"/>
    <x v="4"/>
  </r>
  <r>
    <s v="1.2"/>
    <s v="    Epic 2: Labour Tests &amp; Medical Records (BOCW)"/>
    <x v="1"/>
    <n v="50"/>
    <s v="1.1"/>
    <x v="0"/>
  </r>
  <r>
    <s v="1.2.1"/>
    <s v="        US-09: Configure Project-Level Labour Test Requirements"/>
    <x v="2"/>
    <n v="16"/>
    <s v="1.1"/>
    <x v="0"/>
  </r>
  <r>
    <s v="1.2.1.1"/>
    <s v="            Database"/>
    <x v="3"/>
    <n v="4"/>
    <s v="1.2"/>
    <x v="3"/>
  </r>
  <r>
    <s v="1.2.1.2"/>
    <s v="            Backend API"/>
    <x v="3"/>
    <n v="4"/>
    <s v="1.2.1.1"/>
    <x v="3"/>
  </r>
  <r>
    <s v="1.2.1.3"/>
    <s v="            Web Front End"/>
    <x v="3"/>
    <n v="4"/>
    <s v="1.2.1.2"/>
    <x v="5"/>
  </r>
  <r>
    <s v="1.2.1.4"/>
    <s v="            Mobile"/>
    <x v="3"/>
    <n v="4"/>
    <s v="1.2.1.3"/>
    <x v="4"/>
  </r>
  <r>
    <s v="1.2.2"/>
    <s v="        US-10: Hard Block PPE Issuance on Pending or Failed Mandatory Test Status Change to Fail"/>
    <x v="2"/>
    <n v="6"/>
    <s v="1.2.1"/>
    <x v="0"/>
  </r>
  <r>
    <s v="1.2.2.2"/>
    <s v="            Backend API"/>
    <x v="3"/>
    <n v="2"/>
    <s v="1.2.2.1"/>
    <x v="3"/>
  </r>
  <r>
    <s v="1.2.2.3"/>
    <s v="            Web Front End"/>
    <x v="3"/>
    <n v="2"/>
    <s v="1.2.2.2"/>
    <x v="5"/>
  </r>
  <r>
    <s v="1.2.2.4"/>
    <s v="            Mobile"/>
    <x v="3"/>
    <n v="2"/>
    <s v="1.2.2.3"/>
    <x v="4"/>
  </r>
  <r>
    <s v="1.2.3"/>
    <s v="        US-11: Doctor Creates Medical Test Record (Form XI / BOCW)"/>
    <x v="2"/>
    <n v="16"/>
    <s v="1.2.2"/>
    <x v="0"/>
  </r>
  <r>
    <s v="1.2.3.2"/>
    <s v="            Backend API"/>
    <x v="3"/>
    <n v="4"/>
    <s v="1.2.3.1"/>
    <x v="3"/>
  </r>
  <r>
    <s v="1.2.3.3"/>
    <s v="            Web Front End"/>
    <x v="3"/>
    <n v="6"/>
    <s v="1.2.3.2"/>
    <x v="5"/>
  </r>
  <r>
    <s v="1.2.3.4"/>
    <s v="            Mobile"/>
    <x v="3"/>
    <n v="6"/>
    <s v="1.2.3.3"/>
    <x v="4"/>
  </r>
  <r>
    <s v="1.2.5"/>
    <s v="        US-13: Track Pending Medical Examinations with Dashboard KPI"/>
    <x v="2"/>
    <n v="6"/>
    <s v="1.2.4"/>
    <x v="0"/>
  </r>
  <r>
    <s v="1.2.5.2"/>
    <s v="            Backend API"/>
    <x v="3"/>
    <n v="2"/>
    <s v="1.2.5.1"/>
    <x v="3"/>
  </r>
  <r>
    <s v="1.2.5.3"/>
    <s v="            Web Front End"/>
    <x v="3"/>
    <n v="2"/>
    <s v="1.2.5.2"/>
    <x v="5"/>
  </r>
  <r>
    <s v="1.2.5.4"/>
    <s v="            Mobile"/>
    <x v="3"/>
    <n v="2"/>
    <s v="1.2.5.3"/>
    <x v="4"/>
  </r>
  <r>
    <s v="1.2.6"/>
    <s v="        US-14: Maintain Multiple Permanent Medical Records per Labourer"/>
    <x v="2"/>
    <n v="6"/>
    <s v="1.2.5"/>
    <x v="0"/>
  </r>
  <r>
    <s v="1.2.6.2"/>
    <s v="            Backend API"/>
    <x v="3"/>
    <n v="2"/>
    <s v="1.2.6.1"/>
    <x v="3"/>
  </r>
  <r>
    <s v="1.2.6.3"/>
    <s v="            Web Front End"/>
    <x v="3"/>
    <n v="2"/>
    <s v="1.2.6.2"/>
    <x v="5"/>
  </r>
  <r>
    <s v="1.2.6.4"/>
    <s v="            Mobile"/>
    <x v="3"/>
    <n v="2"/>
    <s v="1.2.6.3"/>
    <x v="4"/>
  </r>
  <r>
    <s v="1.3"/>
    <s v="    Epic 3: PPE Issuance"/>
    <x v="1"/>
    <n v="92"/>
    <s v="1.2"/>
    <x v="0"/>
  </r>
  <r>
    <s v="1.3.1"/>
    <s v="        US-15: Configure PPE Master with Labour Type Baseline Mapping"/>
    <x v="2"/>
    <n v="24"/>
    <s v="1.2"/>
    <x v="0"/>
  </r>
  <r>
    <s v="1.3.1.1"/>
    <s v="            Database"/>
    <x v="3"/>
    <n v="4"/>
    <s v="1.3"/>
    <x v="2"/>
  </r>
  <r>
    <s v="1.3.1.2"/>
    <s v="            Backend API"/>
    <x v="3"/>
    <n v="8"/>
    <s v="1.3.1.1"/>
    <x v="2"/>
  </r>
  <r>
    <s v="1.3.1.3"/>
    <s v="            Web Front End"/>
    <x v="3"/>
    <n v="7"/>
    <s v="1.3.1.2"/>
    <x v="5"/>
  </r>
  <r>
    <s v="1.3.1.4"/>
    <s v="            Mobile"/>
    <x v="3"/>
    <n v="5"/>
    <s v="1.3.1.3"/>
    <x v="4"/>
  </r>
  <r>
    <s v="1.3.2"/>
    <s v="        US-16: Issue PPE via Person-First or Contractor-First Mode"/>
    <x v="2"/>
    <n v="14"/>
    <s v="1.3.1"/>
    <x v="0"/>
  </r>
  <r>
    <s v="1.3.2.2"/>
    <s v="            Backend API"/>
    <x v="3"/>
    <n v="6"/>
    <s v="1.3.2.1"/>
    <x v="2"/>
  </r>
  <r>
    <s v="1.3.2.3"/>
    <s v="            Web Front End"/>
    <x v="3"/>
    <n v="4"/>
    <s v="1.3.2.2"/>
    <x v="5"/>
  </r>
  <r>
    <s v="1.3.2.4"/>
    <s v="            Mobile"/>
    <x v="3"/>
    <n v="4"/>
    <s v="1.3.2.3"/>
    <x v="4"/>
  </r>
  <r>
    <s v="1.3.3"/>
    <s v="        US-17: Enforce First Issue / Replacement / Additional Issuance Rule"/>
    <x v="2"/>
    <n v="12"/>
    <s v="1.3.2"/>
    <x v="0"/>
  </r>
  <r>
    <s v="1.3.3.2"/>
    <s v="            Backend API"/>
    <x v="3"/>
    <n v="4"/>
    <s v="1.3.3.1"/>
    <x v="2"/>
  </r>
  <r>
    <s v="1.3.3.3"/>
    <s v="            Web Front End"/>
    <x v="3"/>
    <n v="4"/>
    <s v="1.3.3.2"/>
    <x v="5"/>
  </r>
  <r>
    <s v="1.3.3.4"/>
    <s v="            Mobile"/>
    <x v="3"/>
    <n v="4"/>
    <s v="1.3.3.3"/>
    <x v="4"/>
  </r>
  <r>
    <s v="1.3.4"/>
    <s v="        US-18: Auto-Consolidate PPE Issuance into Contractor-Wise MRIS"/>
    <x v="2"/>
    <n v="22"/>
    <s v="1.3.3"/>
    <x v="0"/>
  </r>
  <r>
    <s v="1.3.4.2"/>
    <s v="            Backend API"/>
    <x v="3"/>
    <n v="8"/>
    <s v="1.3.4.1"/>
    <x v="2"/>
  </r>
  <r>
    <s v="1.3.4.3"/>
    <s v="            Web Front End"/>
    <x v="3"/>
    <n v="6"/>
    <s v="1.3.4.2"/>
    <x v="5"/>
  </r>
  <r>
    <s v="1.3.4.4"/>
    <s v="            Mobile"/>
    <x v="3"/>
    <n v="8"/>
    <s v="1.3.4.3"/>
    <x v="4"/>
  </r>
  <r>
    <s v="1.3.5"/>
    <s v="        US-19: Update Clearance Flag on First Issue Confirmation"/>
    <x v="2"/>
    <n v="4"/>
    <s v="1.3.4"/>
    <x v="0"/>
  </r>
  <r>
    <s v="1.3.5.2"/>
    <s v="            Backend API"/>
    <x v="3"/>
    <n v="2"/>
    <s v="1.3.5.1"/>
    <x v="2"/>
  </r>
  <r>
    <s v="1.3.5.3"/>
    <s v="            Web Front End"/>
    <x v="3"/>
    <n v="1"/>
    <s v="1.3.5.2"/>
    <x v="5"/>
  </r>
  <r>
    <s v="1.3.5.4"/>
    <s v="            Mobile"/>
    <x v="3"/>
    <n v="1"/>
    <s v="1.3.5.3"/>
    <x v="4"/>
  </r>
  <r>
    <s v="1.4"/>
    <s v="    Epic 4: Entry Pass &amp; Overall Clearance"/>
    <x v="1"/>
    <n v="63"/>
    <s v="1.3"/>
    <x v="0"/>
  </r>
  <r>
    <s v="1.4.1"/>
    <s v="        US-21: System Calculates Overall Clearance from Three Conditions"/>
    <x v="2"/>
    <n v="24"/>
    <s v="1.3"/>
    <x v="0"/>
  </r>
  <r>
    <s v="1.4.1.1"/>
    <s v="            Database"/>
    <x v="3"/>
    <n v="6"/>
    <s v="1.4"/>
    <x v="3"/>
  </r>
  <r>
    <s v="1.4.1.2"/>
    <s v="            Backend API"/>
    <x v="3"/>
    <n v="6"/>
    <s v="1.4.1.1"/>
    <x v="3"/>
  </r>
  <r>
    <s v="1.4.1.3"/>
    <s v="            Web Front End"/>
    <x v="3"/>
    <n v="6"/>
    <s v="1.4.1.2"/>
    <x v="5"/>
  </r>
  <r>
    <s v="1.4.1.4"/>
    <s v="            Mobile"/>
    <x v="3"/>
    <n v="6"/>
    <s v="1.4.1.3"/>
    <x v="4"/>
  </r>
  <r>
    <s v="1.4.2"/>
    <s v="        US-22: Admin Issues Entry Pass Gated on Overall Clearance"/>
    <x v="2"/>
    <n v="14"/>
    <s v="1.4.1"/>
    <x v="0"/>
  </r>
  <r>
    <s v="1.4.2.2"/>
    <s v="            Backend API"/>
    <x v="3"/>
    <n v="4"/>
    <s v="1.4.2.1"/>
    <x v="3"/>
  </r>
  <r>
    <s v="1.4.2.3"/>
    <s v="            Web Front End"/>
    <x v="3"/>
    <n v="5"/>
    <s v="1.4.2.2"/>
    <x v="5"/>
  </r>
  <r>
    <s v="1.4.2.4"/>
    <s v="            Mobile"/>
    <x v="3"/>
    <n v="5"/>
    <s v="1.4.2.3"/>
    <x v="4"/>
  </r>
  <r>
    <s v="1.4.3"/>
    <s v="        US-23: Admin Overrides Not-Cleared Status with Mandatory Reason"/>
    <x v="2"/>
    <n v="11"/>
    <s v="1.4.2"/>
    <x v="0"/>
  </r>
  <r>
    <s v="1.4.3.2"/>
    <s v="            Backend API"/>
    <x v="3"/>
    <n v="4"/>
    <s v="1.4.3.1"/>
    <x v="3"/>
  </r>
  <r>
    <s v="1.4.3.3"/>
    <s v="            Web Front End"/>
    <x v="3"/>
    <n v="4"/>
    <s v="1.4.3.2"/>
    <x v="5"/>
  </r>
  <r>
    <s v="1.4.3.4"/>
    <s v="            Mobile"/>
    <x v="3"/>
    <n v="3"/>
    <s v="1.4.3.3"/>
    <x v="4"/>
  </r>
  <r>
    <s v="1.4.4"/>
    <s v="        US-24: Admin Revokes Entry Pass"/>
    <x v="2"/>
    <n v="7"/>
    <s v="1.4.3"/>
    <x v="0"/>
  </r>
  <r>
    <s v="1.4.4.2"/>
    <s v="            Backend API"/>
    <x v="3"/>
    <n v="3"/>
    <s v="1.4.4.1"/>
    <x v="3"/>
  </r>
  <r>
    <s v="1.4.4.3"/>
    <s v="            Web Front End"/>
    <x v="3"/>
    <n v="2"/>
    <s v="1.4.4.2"/>
    <x v="5"/>
  </r>
  <r>
    <s v="1.4.4.4"/>
    <s v="            Mobile"/>
    <x v="3"/>
    <n v="2"/>
    <s v="1.4.4.3"/>
    <x v="4"/>
  </r>
  <r>
    <s v="1.4.5"/>
    <s v="        US-25: Periodic Entry Pass Reconciliation Report"/>
    <x v="2"/>
    <n v="7"/>
    <s v="1.4.4"/>
    <x v="0"/>
  </r>
  <r>
    <s v="1.4.5.2"/>
    <s v="            Backend API"/>
    <x v="3"/>
    <n v="4"/>
    <s v="1.4.5.1"/>
    <x v="3"/>
  </r>
  <r>
    <s v="1.4.5.3"/>
    <s v="            Web Front End"/>
    <x v="3"/>
    <n v="3"/>
    <s v="1.4.5.2"/>
    <x v="5"/>
  </r>
  <r>
    <s v="1.5"/>
    <s v="    Epic 5: Work Permit (PTW)"/>
    <x v="1"/>
    <n v="129"/>
    <s v="1.4"/>
    <x v="0"/>
  </r>
  <r>
    <s v="1.5.1"/>
    <s v="        US-26: Configure Permit Type Master with Classification Rules"/>
    <x v="2"/>
    <n v="11"/>
    <s v="1.4"/>
    <x v="0"/>
  </r>
  <r>
    <s v="1.5.1.1"/>
    <s v="            Database"/>
    <x v="3"/>
    <n v="2"/>
    <s v="1.5"/>
    <x v="2"/>
  </r>
  <r>
    <s v="1.5.1.2"/>
    <s v="            Backend API"/>
    <x v="3"/>
    <n v="4"/>
    <s v="1.5.1.1"/>
    <x v="2"/>
  </r>
  <r>
    <s v="1.5.1.3"/>
    <s v="            Web Front End"/>
    <x v="3"/>
    <n v="5"/>
    <s v="1.5.1.2"/>
    <x v="5"/>
  </r>
  <r>
    <s v="1.5.2"/>
    <s v="        US-27: Requestor Initiates PTW Request"/>
    <x v="2"/>
    <n v="21"/>
    <s v="1.5.1"/>
    <x v="0"/>
  </r>
  <r>
    <s v="1.5.2.2"/>
    <s v="            Backend API"/>
    <x v="3"/>
    <n v="6"/>
    <s v="1.5.2.1"/>
    <x v="2"/>
  </r>
  <r>
    <s v="1.5.2.3"/>
    <s v="            Web Front End"/>
    <x v="3"/>
    <n v="7"/>
    <s v="1.5.2.2"/>
    <x v="5"/>
  </r>
  <r>
    <s v="1.5.2.4"/>
    <s v="            Mobile"/>
    <x v="3"/>
    <n v="8"/>
    <s v="1.5.2.3"/>
    <x v="4"/>
  </r>
  <r>
    <s v="1.5.5"/>
    <s v="        US-30: Fresh Checklist Every Time with Copy-From-Previous for Static Fields Only"/>
    <x v="2"/>
    <n v="16"/>
    <s v="1.5.4"/>
    <x v="0"/>
  </r>
  <r>
    <s v="1.5.5.2"/>
    <s v="            Backend API"/>
    <x v="3"/>
    <n v="6"/>
    <s v="1.5.5.1"/>
    <x v="2"/>
  </r>
  <r>
    <s v="1.5.5.3"/>
    <s v="            Web Front End"/>
    <x v="3"/>
    <n v="5"/>
    <s v="1.5.5.2"/>
    <x v="5"/>
  </r>
  <r>
    <s v="1.5.5.4"/>
    <s v="            Mobile"/>
    <x v="3"/>
    <n v="5"/>
    <s v="1.5.5.3"/>
    <x v="4"/>
  </r>
  <r>
    <s v="1.5.6"/>
    <s v="        US-31: Enforce L1 and L2 Dual Approval Workflow"/>
    <x v="2"/>
    <n v="12"/>
    <s v="1.5.5"/>
    <x v="0"/>
  </r>
  <r>
    <s v="1.5.6.2"/>
    <s v="            Backend API"/>
    <x v="3"/>
    <n v="4"/>
    <s v="1.5.6.1"/>
    <x v="2"/>
  </r>
  <r>
    <s v="1.5.6.3"/>
    <s v="            Web Front End"/>
    <x v="3"/>
    <n v="4"/>
    <s v="1.5.6.2"/>
    <x v="5"/>
  </r>
  <r>
    <s v="1.5.6.4"/>
    <s v="            Mobile"/>
    <x v="3"/>
    <n v="4"/>
    <s v="1.5.6.3"/>
    <x v="4"/>
  </r>
  <r>
    <s v="1.5.7"/>
    <s v="        US-32: Compliance Counting and Notification Suppression for Multi-Day Permits"/>
    <x v="2"/>
    <n v="15"/>
    <s v="1.5.6"/>
    <x v="0"/>
  </r>
  <r>
    <s v="1.5.7.2"/>
    <s v="            Backend API"/>
    <x v="3"/>
    <n v="6"/>
    <s v="1.5.7.1"/>
    <x v="2"/>
  </r>
  <r>
    <s v="1.5.7.3"/>
    <s v="            Web Front End"/>
    <x v="3"/>
    <n v="4"/>
    <s v="1.5.7.2"/>
    <x v="5"/>
  </r>
  <r>
    <s v="1.5.7.4"/>
    <s v="            Mobile"/>
    <x v="3"/>
    <n v="5"/>
    <s v="1.5.7.3"/>
    <x v="4"/>
  </r>
  <r>
    <s v="1.5.8"/>
    <s v="        US-33: Requestor Extends Active Permit Unilaterally"/>
    <x v="2"/>
    <n v="14"/>
    <s v="1.5.7"/>
    <x v="0"/>
  </r>
  <r>
    <s v="1.5.8.2"/>
    <s v="            Backend API"/>
    <x v="3"/>
    <n v="6"/>
    <s v="1.5.8.1"/>
    <x v="2"/>
  </r>
  <r>
    <s v="1.5.8.3"/>
    <s v="            Web Front End"/>
    <x v="3"/>
    <n v="5"/>
    <s v="1.5.8.2"/>
    <x v="5"/>
  </r>
  <r>
    <s v="1.5.8.4"/>
    <s v="            Mobile"/>
    <x v="3"/>
    <n v="3"/>
    <s v="1.5.8.3"/>
    <x v="4"/>
  </r>
  <r>
    <s v="1.5.9"/>
    <s v="        US-34: SSO Places and Releases Hold Without Consuming Validity"/>
    <x v="2"/>
    <n v="6"/>
    <s v="1.5.8"/>
    <x v="0"/>
  </r>
  <r>
    <s v="1.5.9.2"/>
    <s v="            Backend API"/>
    <x v="3"/>
    <n v="2"/>
    <s v="1.5.9.1"/>
    <x v="2"/>
  </r>
  <r>
    <s v="1.5.9.3"/>
    <s v="            Web Front End"/>
    <x v="3"/>
    <n v="2"/>
    <s v="1.5.9.2"/>
    <x v="5"/>
  </r>
  <r>
    <s v="1.5.9.4"/>
    <s v="            Mobile"/>
    <x v="3"/>
    <n v="2"/>
    <s v="1.5.9.3"/>
    <x v="4"/>
  </r>
  <r>
    <s v="1.5.10"/>
    <s v="        US-35: EHS Manager Issues and Releases Work Stop"/>
    <x v="2"/>
    <n v="7"/>
    <s v="1.5.9"/>
    <x v="0"/>
  </r>
  <r>
    <s v="1.5.10.2"/>
    <s v="            Backend API"/>
    <x v="3"/>
    <n v="2"/>
    <s v="1.5.10.1"/>
    <x v="2"/>
  </r>
  <r>
    <s v="1.5.10.3"/>
    <s v="            Web Front End"/>
    <x v="3"/>
    <n v="2"/>
    <s v="1.5.10.2"/>
    <x v="5"/>
  </r>
  <r>
    <s v="1.5.10.4"/>
    <s v="            Mobile"/>
    <x v="3"/>
    <n v="3"/>
    <s v="1.5.10.3"/>
    <x v="4"/>
  </r>
  <r>
    <s v="1.5.11"/>
    <s v="        US-36: Two-Party Closure of Completed Permit"/>
    <x v="2"/>
    <n v="11"/>
    <s v="1.5.10"/>
    <x v="0"/>
  </r>
  <r>
    <s v="1.5.11.2"/>
    <s v="            Backend API"/>
    <x v="3"/>
    <n v="4"/>
    <s v="1.5.11.1"/>
    <x v="2"/>
  </r>
  <r>
    <s v="1.5.11.3"/>
    <s v="            Web Front End"/>
    <x v="3"/>
    <n v="4"/>
    <s v="1.5.11.2"/>
    <x v="5"/>
  </r>
  <r>
    <s v="1.5.11.4"/>
    <s v="            Mobile"/>
    <x v="3"/>
    <n v="3"/>
    <s v="1.5.11.3"/>
    <x v="4"/>
  </r>
  <r>
    <s v="1.5.12"/>
    <s v="        US-37: System Auto-Expires Permit and Calculates Compliance %"/>
    <x v="2"/>
    <n v="8"/>
    <s v="1.5.11"/>
    <x v="0"/>
  </r>
  <r>
    <s v="1.5.12.2"/>
    <s v="            Backend API"/>
    <x v="3"/>
    <n v="4"/>
    <s v="1.5.12.1"/>
    <x v="2"/>
  </r>
  <r>
    <s v="1.5.12.3"/>
    <s v="            Web Front End"/>
    <x v="3"/>
    <n v="2"/>
    <s v="1.5.12.2"/>
    <x v="5"/>
  </r>
  <r>
    <s v="1.5.12.4"/>
    <s v="            Mobile"/>
    <x v="3"/>
    <n v="2"/>
    <s v="1.5.12.3"/>
    <x v="4"/>
  </r>
  <r>
    <s v="1.5.13"/>
    <s v="        US-38: PTW Notification Matrix Across the Approval and Execution Lifecycle"/>
    <x v="2"/>
    <n v="8"/>
    <s v="1.5.12"/>
    <x v="0"/>
  </r>
  <r>
    <s v="1.5.13.2"/>
    <s v="            Backend API"/>
    <x v="3"/>
    <n v="4"/>
    <s v="1.5.13.1"/>
    <x v="2"/>
  </r>
  <r>
    <s v="1.5.13.3"/>
    <s v="            Web Front End"/>
    <x v="3"/>
    <n v="2"/>
    <s v="1.5.13.2"/>
    <x v="5"/>
  </r>
  <r>
    <s v="1.5.13.4"/>
    <s v="            Mobile"/>
    <x v="3"/>
    <n v="2"/>
    <s v="1.5.13.3"/>
    <x v="4"/>
  </r>
  <r>
    <s v="1.7"/>
    <s v="    Epic 7: Checklist &amp; Rating Enhancements"/>
    <x v="1"/>
    <n v="62"/>
    <s v="1.6"/>
    <x v="0"/>
  </r>
  <r>
    <s v="1.7.1"/>
    <s v="        US-49: Configure Photo-Mandatory Toggle per Checklist Point"/>
    <x v="2"/>
    <n v="20"/>
    <s v="1.6"/>
    <x v="0"/>
  </r>
  <r>
    <s v="1.7.1.1"/>
    <s v="            Database"/>
    <x v="3"/>
    <n v="2"/>
    <s v="1.7"/>
    <x v="2"/>
  </r>
  <r>
    <s v="1.7.1.2"/>
    <s v="            Backend API"/>
    <x v="3"/>
    <n v="6"/>
    <s v="1.7.1.1"/>
    <x v="2"/>
  </r>
  <r>
    <s v="1.7.1.3"/>
    <s v="            Web Front End"/>
    <x v="3"/>
    <n v="6"/>
    <s v="1.7.1.2"/>
    <x v="5"/>
  </r>
  <r>
    <s v="1.7.1.4"/>
    <s v="            Mobile"/>
    <x v="3"/>
    <n v="6"/>
    <s v="1.7.1.3"/>
    <x v="4"/>
  </r>
  <r>
    <s v="1.7.2"/>
    <s v="        US-50: Configure Project-Level Checklist Approver"/>
    <x v="2"/>
    <n v="16"/>
    <s v="1.7.1"/>
    <x v="0"/>
  </r>
  <r>
    <s v="1.7.2.1"/>
    <s v="            Database"/>
    <x v="3"/>
    <n v="2"/>
    <s v="1.7.1"/>
    <x v="3"/>
  </r>
  <r>
    <s v="1.7.2.2"/>
    <s v="            Backend API"/>
    <x v="3"/>
    <n v="6"/>
    <s v="1.7.2.1"/>
    <x v="2"/>
  </r>
  <r>
    <s v="1.7.2.3"/>
    <s v="            Web Front End"/>
    <x v="3"/>
    <n v="5"/>
    <s v="1.7.2.2"/>
    <x v="5"/>
  </r>
  <r>
    <s v="1.7.2.4"/>
    <s v="            Mobile"/>
    <x v="3"/>
    <n v="3"/>
    <s v="1.7.2.3"/>
    <x v="4"/>
  </r>
  <r>
    <s v="1.7.3"/>
    <s v="        US-51: Add Comments Throughout Checklist Lifecycle"/>
    <x v="2"/>
    <n v="9"/>
    <s v="1.7.2"/>
    <x v="0"/>
  </r>
  <r>
    <s v="1.7.3.1"/>
    <s v="            Database"/>
    <x v="3"/>
    <n v="2"/>
    <s v="1.7.2"/>
    <x v="3"/>
  </r>
  <r>
    <s v="1.7.3.2"/>
    <s v="            Backend API"/>
    <x v="3"/>
    <n v="3"/>
    <s v="1.7.3.1"/>
    <x v="2"/>
  </r>
  <r>
    <s v="1.7.3.3"/>
    <s v="            Web Front End"/>
    <x v="3"/>
    <n v="2"/>
    <s v="1.7.3.2"/>
    <x v="5"/>
  </r>
  <r>
    <s v="1.7.3.4"/>
    <s v="            Mobile"/>
    <x v="3"/>
    <n v="2"/>
    <s v="1.7.3.3"/>
    <x v="4"/>
  </r>
  <r>
    <s v="1.7.4"/>
    <s v="        US-52: Enforce Rating Immutability on New Submission"/>
    <x v="2"/>
    <n v="8"/>
    <s v="1.7.3"/>
    <x v="0"/>
  </r>
  <r>
    <s v="1.7.4.1"/>
    <s v="            Database"/>
    <x v="3"/>
    <n v="2"/>
    <s v="1.7.3"/>
    <x v="3"/>
  </r>
  <r>
    <s v="1.7.4.2"/>
    <s v="            Backend API"/>
    <x v="3"/>
    <n v="2"/>
    <s v="1.7.4.1"/>
    <x v="2"/>
  </r>
  <r>
    <s v="1.7.4.3"/>
    <s v="            Web Front End"/>
    <x v="3"/>
    <n v="2"/>
    <s v="1.7.4.2"/>
    <x v="5"/>
  </r>
  <r>
    <s v="1.7.4.4"/>
    <s v="            Mobile"/>
    <x v="3"/>
    <n v="2"/>
    <s v="1.7.4.3"/>
    <x v="4"/>
  </r>
  <r>
    <s v="1.7.5"/>
    <s v="        US-53: Configure Target CCP Score per Project Rating Template"/>
    <x v="2"/>
    <n v="9"/>
    <s v="1.7.4"/>
    <x v="0"/>
  </r>
  <r>
    <s v="1.7.5.1"/>
    <s v="            Database"/>
    <x v="3"/>
    <n v="2"/>
    <s v="1.7.4"/>
    <x v="3"/>
  </r>
  <r>
    <s v="1.7.5.2"/>
    <s v="            Backend API"/>
    <x v="3"/>
    <n v="3"/>
    <s v="1.7.5.1"/>
    <x v="2"/>
  </r>
  <r>
    <s v="1.7.5.3"/>
    <s v="            Web Front End"/>
    <x v="3"/>
    <n v="2"/>
    <s v="1.7.5.2"/>
    <x v="5"/>
  </r>
  <r>
    <s v="1.7.5.4"/>
    <s v="            Mobile"/>
    <x v="3"/>
    <n v="2"/>
    <s v="1.7.5.3"/>
    <x v="4"/>
  </r>
  <r>
    <s v="1.8"/>
    <s v="    Epic 8: Safety MIS &amp; Dashboards"/>
    <x v="1"/>
    <n v="60"/>
    <s v="1.7"/>
    <x v="0"/>
  </r>
  <r>
    <s v="1.8.1"/>
    <s v="        US-54: User Dashboard with My Tasks and Permits"/>
    <x v="2"/>
    <n v="20"/>
    <s v="1.7"/>
    <x v="0"/>
  </r>
  <r>
    <s v="1.8.1.2"/>
    <s v="            Backend API"/>
    <x v="3"/>
    <n v="8"/>
    <s v="1.8.1.1"/>
    <x v="3"/>
  </r>
  <r>
    <s v="1.8.1.3"/>
    <s v="            Web Front End"/>
    <x v="3"/>
    <n v="7"/>
    <s v="1.8.1.2"/>
    <x v="5"/>
  </r>
  <r>
    <s v="1.8.1.4"/>
    <s v="            Mobile"/>
    <x v="3"/>
    <n v="5"/>
    <s v="1.8.1.3"/>
    <x v="4"/>
  </r>
  <r>
    <s v="1.8.2"/>
    <s v="        US-55: Project Dashboard Across All Three Tracks"/>
    <x v="2"/>
    <n v="20"/>
    <s v="1.8.1"/>
    <x v="0"/>
  </r>
  <r>
    <s v="1.8.2.2"/>
    <s v="            Backend API"/>
    <x v="3"/>
    <n v="8"/>
    <s v="1.8.2.1"/>
    <x v="3"/>
  </r>
  <r>
    <s v="1.8.2.3"/>
    <s v="            Web Front End"/>
    <x v="3"/>
    <n v="6"/>
    <s v="1.8.2.2"/>
    <x v="5"/>
  </r>
  <r>
    <s v="1.8.2.4"/>
    <s v="            Mobile"/>
    <x v="3"/>
    <n v="6"/>
    <s v="1.8.2.3"/>
    <x v="4"/>
  </r>
  <r>
    <s v="1.8.3"/>
    <s v="        US-56: Management Cross-Project Dashboard with Trends"/>
    <x v="2"/>
    <n v="20"/>
    <s v="1.8.2"/>
    <x v="0"/>
  </r>
  <r>
    <s v="1.8.3.2"/>
    <s v="            Backend API"/>
    <x v="3"/>
    <n v="8"/>
    <s v="1.8.3.1"/>
    <x v="3"/>
  </r>
  <r>
    <s v="1.8.3.3"/>
    <s v="            Web Front End"/>
    <x v="3"/>
    <n v="6"/>
    <s v="1.8.3.2"/>
    <x v="5"/>
  </r>
  <r>
    <s v="1.8.3.4"/>
    <s v="            Mobile"/>
    <x v="3"/>
    <n v="6"/>
    <s v="1.8.3.3"/>
    <x v="4"/>
  </r>
  <r>
    <s v="1.9"/>
    <s v="    Epic 9:Integrations &amp; NFRs"/>
    <x v="1"/>
    <n v="34"/>
    <s v="1.8"/>
    <x v="0"/>
  </r>
  <r>
    <s v="1.9.2"/>
    <s v="        US-59: Consume Labour Registration Data from Admin Module"/>
    <x v="2"/>
    <n v="10"/>
    <s v="1.9.1"/>
    <x v="0"/>
  </r>
  <r>
    <s v="1.9.2.1"/>
    <s v="            Database"/>
    <x v="3"/>
    <n v="1"/>
    <s v="1.9.1"/>
    <x v="3"/>
  </r>
  <r>
    <s v="1.9.2.2"/>
    <s v="            Backend API"/>
    <x v="3"/>
    <n v="4"/>
    <s v="1.9.2.1"/>
    <x v="2"/>
  </r>
  <r>
    <s v="1.9.2.3"/>
    <s v="            Web Front End"/>
    <x v="3"/>
    <n v="2"/>
    <s v="1.9.2.2"/>
    <x v="5"/>
  </r>
  <r>
    <s v="1.9.2.4"/>
    <s v="            Mobile"/>
    <x v="3"/>
    <n v="3"/>
    <s v="1.9.2.3"/>
    <x v="4"/>
  </r>
  <r>
    <s v="1.9.4"/>
    <s v="        US-61: Convert PPE Issuance to MRIS via D365 Write Integration"/>
    <x v="2"/>
    <n v="24"/>
    <s v="1.9.3"/>
    <x v="0"/>
  </r>
  <r>
    <s v="1.9.4.1"/>
    <s v="            Database"/>
    <x v="3"/>
    <n v="4"/>
    <s v="1.9.3"/>
    <x v="3"/>
  </r>
  <r>
    <s v="1.9.4.2"/>
    <s v="            Backend API"/>
    <x v="3"/>
    <n v="8"/>
    <s v="1.9.4.1"/>
    <x v="2"/>
  </r>
  <r>
    <s v="1.9.4.3"/>
    <s v="            Web Front End"/>
    <x v="3"/>
    <n v="7"/>
    <s v="1.9.4.2"/>
    <x v="2"/>
  </r>
  <r>
    <s v="1.9.4.4"/>
    <s v="            Mobile"/>
    <x v="3"/>
    <n v="5"/>
    <s v="1.9.4.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FCB58-83F5-48AB-BEC9-2E2994024A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6">
    <pivotField showAll="0"/>
    <pivotField showAll="0"/>
    <pivotField axis="axisPage" showAll="0">
      <items count="5">
        <item x="1"/>
        <item x="0"/>
        <item x="3"/>
        <item x="2"/>
        <item t="default"/>
      </items>
    </pivotField>
    <pivotField dataField="1" showAll="0"/>
    <pivotField showAll="0"/>
    <pivotField axis="axisRow" showAll="0">
      <items count="7">
        <item x="1"/>
        <item x="4"/>
        <item x="3"/>
        <item x="2"/>
        <item x="5"/>
        <item x="0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item="2" hier="-1"/>
  </pageFields>
  <dataFields count="1">
    <dataField name="Sum of Estimated Hou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ACE2-4DCF-444D-B453-49C413C9B478}">
  <dimension ref="A1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22.42578125" bestFit="1" customWidth="1"/>
  </cols>
  <sheetData>
    <row r="1" spans="1:2" x14ac:dyDescent="0.25">
      <c r="A1" s="29" t="s">
        <v>2</v>
      </c>
      <c r="B1" t="s">
        <v>14</v>
      </c>
    </row>
    <row r="3" spans="1:2" x14ac:dyDescent="0.25">
      <c r="A3" s="29" t="s">
        <v>267</v>
      </c>
      <c r="B3" t="s">
        <v>268</v>
      </c>
    </row>
    <row r="4" spans="1:2" x14ac:dyDescent="0.25">
      <c r="A4" s="30" t="s">
        <v>263</v>
      </c>
      <c r="B4">
        <v>159</v>
      </c>
    </row>
    <row r="5" spans="1:2" x14ac:dyDescent="0.25">
      <c r="A5" s="30" t="s">
        <v>260</v>
      </c>
      <c r="B5">
        <v>110</v>
      </c>
    </row>
    <row r="6" spans="1:2" x14ac:dyDescent="0.25">
      <c r="A6" s="30" t="s">
        <v>261</v>
      </c>
      <c r="B6">
        <v>151</v>
      </c>
    </row>
    <row r="7" spans="1:2" x14ac:dyDescent="0.25">
      <c r="A7" s="30" t="s">
        <v>262</v>
      </c>
      <c r="B7">
        <v>138</v>
      </c>
    </row>
    <row r="8" spans="1:2" x14ac:dyDescent="0.25">
      <c r="A8" s="30" t="s">
        <v>264</v>
      </c>
      <c r="B8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"/>
  <sheetViews>
    <sheetView zoomScaleNormal="100" workbookViewId="0">
      <pane ySplit="1" topLeftCell="A2" activePane="bottomLeft" state="frozen"/>
      <selection pane="bottomLeft" activeCell="D52" sqref="D52"/>
    </sheetView>
  </sheetViews>
  <sheetFormatPr defaultColWidth="8.7109375" defaultRowHeight="15" x14ac:dyDescent="0.25"/>
  <cols>
    <col min="1" max="1" width="12" customWidth="1"/>
    <col min="2" max="2" width="90.7109375" customWidth="1"/>
    <col min="3" max="3" width="14" customWidth="1"/>
    <col min="4" max="4" width="24.42578125" customWidth="1"/>
    <col min="5" max="5" width="13" customWidth="1"/>
  </cols>
  <sheetData>
    <row r="1" spans="1: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259</v>
      </c>
    </row>
    <row r="2" spans="1:5" ht="25.5" customHeight="1" x14ac:dyDescent="0.25">
      <c r="A2" s="2" t="s">
        <v>4</v>
      </c>
      <c r="B2" s="3" t="s">
        <v>5</v>
      </c>
      <c r="C2" s="4" t="s">
        <v>6</v>
      </c>
      <c r="D2" s="4"/>
      <c r="E2" s="2"/>
    </row>
    <row r="3" spans="1:5" ht="25.5" customHeight="1" x14ac:dyDescent="0.25">
      <c r="A3" s="5" t="s">
        <v>7</v>
      </c>
      <c r="B3" s="6" t="s">
        <v>8</v>
      </c>
      <c r="C3" s="7" t="s">
        <v>9</v>
      </c>
      <c r="D3" s="7">
        <v>84</v>
      </c>
      <c r="E3" s="5"/>
    </row>
    <row r="4" spans="1:5" ht="15.75" customHeight="1" x14ac:dyDescent="0.25">
      <c r="A4" s="8" t="s">
        <v>10</v>
      </c>
      <c r="B4" s="9" t="s">
        <v>257</v>
      </c>
      <c r="C4" s="10" t="s">
        <v>11</v>
      </c>
      <c r="D4" s="10">
        <f>SUM(D5:D8)</f>
        <v>18</v>
      </c>
      <c r="E4" s="8" t="s">
        <v>259</v>
      </c>
    </row>
    <row r="5" spans="1:5" ht="15.75" customHeight="1" x14ac:dyDescent="0.25">
      <c r="A5" s="11" t="s">
        <v>12</v>
      </c>
      <c r="B5" s="12" t="s">
        <v>13</v>
      </c>
      <c r="C5" s="13" t="s">
        <v>14</v>
      </c>
      <c r="D5" s="14">
        <v>6</v>
      </c>
      <c r="E5" s="11" t="s">
        <v>261</v>
      </c>
    </row>
    <row r="6" spans="1:5" ht="15.75" customHeight="1" x14ac:dyDescent="0.25">
      <c r="A6" s="11" t="s">
        <v>15</v>
      </c>
      <c r="B6" s="15" t="s">
        <v>16</v>
      </c>
      <c r="C6" s="13" t="s">
        <v>14</v>
      </c>
      <c r="D6" s="16">
        <v>4</v>
      </c>
      <c r="E6" s="11" t="s">
        <v>261</v>
      </c>
    </row>
    <row r="7" spans="1:5" ht="15.75" customHeight="1" x14ac:dyDescent="0.25">
      <c r="A7" s="11" t="s">
        <v>17</v>
      </c>
      <c r="B7" s="17" t="s">
        <v>18</v>
      </c>
      <c r="C7" s="13" t="s">
        <v>14</v>
      </c>
      <c r="D7" s="18">
        <v>4</v>
      </c>
      <c r="E7" s="11" t="s">
        <v>260</v>
      </c>
    </row>
    <row r="8" spans="1:5" ht="15.75" customHeight="1" x14ac:dyDescent="0.25">
      <c r="A8" s="11" t="s">
        <v>19</v>
      </c>
      <c r="B8" s="19" t="s">
        <v>20</v>
      </c>
      <c r="C8" s="13" t="s">
        <v>14</v>
      </c>
      <c r="D8" s="20">
        <v>4</v>
      </c>
      <c r="E8" s="11" t="s">
        <v>263</v>
      </c>
    </row>
    <row r="9" spans="1:5" ht="15.75" customHeight="1" x14ac:dyDescent="0.25">
      <c r="A9" s="8" t="s">
        <v>21</v>
      </c>
      <c r="B9" s="9" t="s">
        <v>22</v>
      </c>
      <c r="C9" s="10" t="s">
        <v>11</v>
      </c>
      <c r="D9" s="10">
        <f>SUM(D10:D12)</f>
        <v>24</v>
      </c>
      <c r="E9" s="8"/>
    </row>
    <row r="10" spans="1:5" ht="15.75" customHeight="1" x14ac:dyDescent="0.25">
      <c r="A10" s="11" t="s">
        <v>23</v>
      </c>
      <c r="B10" s="15" t="s">
        <v>16</v>
      </c>
      <c r="C10" s="13" t="s">
        <v>14</v>
      </c>
      <c r="D10" s="16">
        <v>4</v>
      </c>
      <c r="E10" s="11" t="s">
        <v>261</v>
      </c>
    </row>
    <row r="11" spans="1:5" ht="15.75" customHeight="1" x14ac:dyDescent="0.25">
      <c r="A11" s="11" t="s">
        <v>24</v>
      </c>
      <c r="B11" s="17" t="s">
        <v>18</v>
      </c>
      <c r="C11" s="13" t="s">
        <v>14</v>
      </c>
      <c r="D11" s="18">
        <v>10</v>
      </c>
      <c r="E11" s="11" t="s">
        <v>260</v>
      </c>
    </row>
    <row r="12" spans="1:5" ht="15.75" customHeight="1" x14ac:dyDescent="0.25">
      <c r="A12" s="11" t="s">
        <v>25</v>
      </c>
      <c r="B12" s="19" t="s">
        <v>20</v>
      </c>
      <c r="C12" s="13" t="s">
        <v>14</v>
      </c>
      <c r="D12" s="20">
        <v>10</v>
      </c>
      <c r="E12" s="11" t="s">
        <v>263</v>
      </c>
    </row>
    <row r="13" spans="1:5" ht="15.75" customHeight="1" x14ac:dyDescent="0.25">
      <c r="A13" s="8" t="s">
        <v>26</v>
      </c>
      <c r="B13" s="9" t="s">
        <v>27</v>
      </c>
      <c r="C13" s="10" t="s">
        <v>11</v>
      </c>
      <c r="D13" s="10">
        <f>SUM(D14:D16)</f>
        <v>11</v>
      </c>
      <c r="E13" s="8"/>
    </row>
    <row r="14" spans="1:5" ht="15.75" customHeight="1" x14ac:dyDescent="0.25">
      <c r="A14" s="11" t="s">
        <v>28</v>
      </c>
      <c r="B14" s="15" t="s">
        <v>16</v>
      </c>
      <c r="C14" s="13" t="s">
        <v>14</v>
      </c>
      <c r="D14" s="16">
        <v>4</v>
      </c>
      <c r="E14" s="11" t="s">
        <v>261</v>
      </c>
    </row>
    <row r="15" spans="1:5" ht="15.75" customHeight="1" x14ac:dyDescent="0.25">
      <c r="A15" s="11" t="s">
        <v>29</v>
      </c>
      <c r="B15" s="17" t="s">
        <v>18</v>
      </c>
      <c r="C15" s="13" t="s">
        <v>14</v>
      </c>
      <c r="D15" s="18">
        <v>4</v>
      </c>
      <c r="E15" s="11" t="s">
        <v>260</v>
      </c>
    </row>
    <row r="16" spans="1:5" ht="15.75" customHeight="1" x14ac:dyDescent="0.25">
      <c r="A16" s="11" t="s">
        <v>30</v>
      </c>
      <c r="B16" s="19" t="s">
        <v>20</v>
      </c>
      <c r="C16" s="13" t="s">
        <v>14</v>
      </c>
      <c r="D16" s="20">
        <v>3</v>
      </c>
      <c r="E16" s="11" t="s">
        <v>263</v>
      </c>
    </row>
    <row r="17" spans="1:5" ht="15.75" customHeight="1" x14ac:dyDescent="0.25">
      <c r="A17" s="8" t="s">
        <v>31</v>
      </c>
      <c r="B17" s="9" t="s">
        <v>32</v>
      </c>
      <c r="C17" s="10" t="s">
        <v>11</v>
      </c>
      <c r="D17" s="10">
        <f>SUM(D18:D20)</f>
        <v>6</v>
      </c>
      <c r="E17" s="8"/>
    </row>
    <row r="18" spans="1:5" ht="15.75" customHeight="1" x14ac:dyDescent="0.25">
      <c r="A18" s="11" t="s">
        <v>33</v>
      </c>
      <c r="B18" s="15" t="s">
        <v>16</v>
      </c>
      <c r="C18" s="13" t="s">
        <v>14</v>
      </c>
      <c r="D18" s="16">
        <v>2</v>
      </c>
      <c r="E18" s="11" t="s">
        <v>261</v>
      </c>
    </row>
    <row r="19" spans="1:5" ht="15.75" customHeight="1" x14ac:dyDescent="0.25">
      <c r="A19" s="11" t="s">
        <v>34</v>
      </c>
      <c r="B19" s="17" t="s">
        <v>18</v>
      </c>
      <c r="C19" s="13" t="s">
        <v>14</v>
      </c>
      <c r="D19" s="18">
        <v>2</v>
      </c>
      <c r="E19" s="11" t="s">
        <v>260</v>
      </c>
    </row>
    <row r="20" spans="1:5" ht="15.75" customHeight="1" x14ac:dyDescent="0.25">
      <c r="A20" s="11" t="s">
        <v>35</v>
      </c>
      <c r="B20" s="19" t="s">
        <v>20</v>
      </c>
      <c r="C20" s="13" t="s">
        <v>14</v>
      </c>
      <c r="D20" s="20">
        <v>2</v>
      </c>
      <c r="E20" s="11" t="s">
        <v>263</v>
      </c>
    </row>
    <row r="21" spans="1:5" ht="15.75" customHeight="1" x14ac:dyDescent="0.25">
      <c r="A21" s="8" t="s">
        <v>36</v>
      </c>
      <c r="B21" s="9" t="s">
        <v>37</v>
      </c>
      <c r="C21" s="10" t="s">
        <v>11</v>
      </c>
      <c r="D21" s="10">
        <f>SUM(D22:D24)</f>
        <v>18</v>
      </c>
      <c r="E21" s="8"/>
    </row>
    <row r="22" spans="1:5" ht="15.75" customHeight="1" x14ac:dyDescent="0.25">
      <c r="A22" s="11" t="s">
        <v>38</v>
      </c>
      <c r="B22" s="15" t="s">
        <v>16</v>
      </c>
      <c r="C22" s="13" t="s">
        <v>14</v>
      </c>
      <c r="D22" s="16">
        <v>6</v>
      </c>
      <c r="E22" s="11" t="s">
        <v>261</v>
      </c>
    </row>
    <row r="23" spans="1:5" ht="15.75" customHeight="1" x14ac:dyDescent="0.25">
      <c r="A23" s="11" t="s">
        <v>39</v>
      </c>
      <c r="B23" s="17" t="s">
        <v>18</v>
      </c>
      <c r="C23" s="13" t="s">
        <v>14</v>
      </c>
      <c r="D23" s="18">
        <v>6</v>
      </c>
      <c r="E23" s="11" t="s">
        <v>260</v>
      </c>
    </row>
    <row r="24" spans="1:5" ht="15.75" customHeight="1" x14ac:dyDescent="0.25">
      <c r="A24" s="11" t="s">
        <v>40</v>
      </c>
      <c r="B24" s="19" t="s">
        <v>20</v>
      </c>
      <c r="C24" s="13" t="s">
        <v>14</v>
      </c>
      <c r="D24" s="20">
        <v>6</v>
      </c>
      <c r="E24" s="11" t="s">
        <v>263</v>
      </c>
    </row>
    <row r="25" spans="1:5" ht="15.75" customHeight="1" x14ac:dyDescent="0.25">
      <c r="A25" s="8" t="s">
        <v>41</v>
      </c>
      <c r="B25" s="9" t="s">
        <v>258</v>
      </c>
      <c r="C25" s="10" t="s">
        <v>11</v>
      </c>
      <c r="D25" s="10">
        <f>SUM(D26:D28)</f>
        <v>7</v>
      </c>
      <c r="E25" s="8"/>
    </row>
    <row r="26" spans="1:5" ht="15.75" customHeight="1" x14ac:dyDescent="0.25">
      <c r="A26" s="11" t="s">
        <v>42</v>
      </c>
      <c r="B26" s="15" t="s">
        <v>16</v>
      </c>
      <c r="C26" s="13" t="s">
        <v>14</v>
      </c>
      <c r="D26" s="16">
        <v>2</v>
      </c>
      <c r="E26" s="11" t="s">
        <v>261</v>
      </c>
    </row>
    <row r="27" spans="1:5" ht="15.75" customHeight="1" x14ac:dyDescent="0.25">
      <c r="A27" s="11" t="s">
        <v>43</v>
      </c>
      <c r="B27" s="17" t="s">
        <v>18</v>
      </c>
      <c r="C27" s="13" t="s">
        <v>14</v>
      </c>
      <c r="D27" s="18">
        <v>2</v>
      </c>
      <c r="E27" s="11" t="s">
        <v>260</v>
      </c>
    </row>
    <row r="28" spans="1:5" ht="15.75" customHeight="1" x14ac:dyDescent="0.25">
      <c r="A28" s="11" t="s">
        <v>44</v>
      </c>
      <c r="B28" s="19" t="s">
        <v>20</v>
      </c>
      <c r="C28" s="13" t="s">
        <v>14</v>
      </c>
      <c r="D28" s="20">
        <v>3</v>
      </c>
      <c r="E28" s="11" t="s">
        <v>263</v>
      </c>
    </row>
    <row r="29" spans="1:5" ht="25.5" customHeight="1" x14ac:dyDescent="0.25">
      <c r="A29" s="5" t="s">
        <v>45</v>
      </c>
      <c r="B29" s="6" t="s">
        <v>46</v>
      </c>
      <c r="C29" s="7" t="s">
        <v>9</v>
      </c>
      <c r="D29" s="7">
        <v>50</v>
      </c>
      <c r="E29" s="5"/>
    </row>
    <row r="30" spans="1:5" ht="15.75" customHeight="1" x14ac:dyDescent="0.25">
      <c r="A30" s="8" t="s">
        <v>47</v>
      </c>
      <c r="B30" s="9" t="s">
        <v>48</v>
      </c>
      <c r="C30" s="10" t="s">
        <v>11</v>
      </c>
      <c r="D30" s="10">
        <f>SUM(D31:D34)</f>
        <v>16</v>
      </c>
      <c r="E30" s="8"/>
    </row>
    <row r="31" spans="1:5" ht="15.75" customHeight="1" x14ac:dyDescent="0.25">
      <c r="A31" s="11" t="s">
        <v>49</v>
      </c>
      <c r="B31" s="12" t="s">
        <v>13</v>
      </c>
      <c r="C31" s="13" t="s">
        <v>14</v>
      </c>
      <c r="D31" s="14">
        <v>4</v>
      </c>
      <c r="E31" s="11" t="s">
        <v>260</v>
      </c>
    </row>
    <row r="32" spans="1:5" ht="15.75" customHeight="1" x14ac:dyDescent="0.25">
      <c r="A32" s="11" t="s">
        <v>50</v>
      </c>
      <c r="B32" s="15" t="s">
        <v>16</v>
      </c>
      <c r="C32" s="13" t="s">
        <v>14</v>
      </c>
      <c r="D32" s="16">
        <v>4</v>
      </c>
      <c r="E32" s="11" t="s">
        <v>260</v>
      </c>
    </row>
    <row r="33" spans="1:5" ht="15.75" customHeight="1" x14ac:dyDescent="0.25">
      <c r="A33" s="11" t="s">
        <v>51</v>
      </c>
      <c r="B33" s="17" t="s">
        <v>18</v>
      </c>
      <c r="C33" s="13" t="s">
        <v>14</v>
      </c>
      <c r="D33" s="18">
        <v>4</v>
      </c>
      <c r="E33" s="11" t="s">
        <v>262</v>
      </c>
    </row>
    <row r="34" spans="1:5" ht="15.75" customHeight="1" x14ac:dyDescent="0.25">
      <c r="A34" s="11" t="s">
        <v>52</v>
      </c>
      <c r="B34" s="19" t="s">
        <v>20</v>
      </c>
      <c r="C34" s="13" t="s">
        <v>14</v>
      </c>
      <c r="D34" s="20">
        <v>4</v>
      </c>
      <c r="E34" s="11" t="s">
        <v>263</v>
      </c>
    </row>
    <row r="35" spans="1:5" ht="15.75" customHeight="1" x14ac:dyDescent="0.25">
      <c r="A35" s="8" t="s">
        <v>53</v>
      </c>
      <c r="B35" s="9" t="s">
        <v>266</v>
      </c>
      <c r="C35" s="10" t="s">
        <v>11</v>
      </c>
      <c r="D35" s="10">
        <f>SUM(D36:D38)</f>
        <v>6</v>
      </c>
      <c r="E35" s="8"/>
    </row>
    <row r="36" spans="1:5" ht="15.75" customHeight="1" x14ac:dyDescent="0.25">
      <c r="A36" s="11" t="s">
        <v>54</v>
      </c>
      <c r="B36" s="15" t="s">
        <v>16</v>
      </c>
      <c r="C36" s="13" t="s">
        <v>14</v>
      </c>
      <c r="D36" s="16">
        <v>2</v>
      </c>
      <c r="E36" s="11" t="s">
        <v>260</v>
      </c>
    </row>
    <row r="37" spans="1:5" ht="15.75" customHeight="1" x14ac:dyDescent="0.25">
      <c r="A37" s="11" t="s">
        <v>55</v>
      </c>
      <c r="B37" s="17" t="s">
        <v>18</v>
      </c>
      <c r="C37" s="13" t="s">
        <v>14</v>
      </c>
      <c r="D37" s="18">
        <v>2</v>
      </c>
      <c r="E37" s="11" t="s">
        <v>262</v>
      </c>
    </row>
    <row r="38" spans="1:5" ht="15.75" customHeight="1" x14ac:dyDescent="0.25">
      <c r="A38" s="11" t="s">
        <v>56</v>
      </c>
      <c r="B38" s="19" t="s">
        <v>20</v>
      </c>
      <c r="C38" s="13" t="s">
        <v>14</v>
      </c>
      <c r="D38" s="20">
        <v>2</v>
      </c>
      <c r="E38" s="11" t="s">
        <v>263</v>
      </c>
    </row>
    <row r="39" spans="1:5" ht="15.75" customHeight="1" x14ac:dyDescent="0.25">
      <c r="A39" s="8" t="s">
        <v>57</v>
      </c>
      <c r="B39" s="9" t="s">
        <v>58</v>
      </c>
      <c r="C39" s="10" t="s">
        <v>11</v>
      </c>
      <c r="D39" s="10">
        <f>SUM(D40:D42)</f>
        <v>16</v>
      </c>
      <c r="E39" s="8"/>
    </row>
    <row r="40" spans="1:5" ht="15.75" customHeight="1" x14ac:dyDescent="0.25">
      <c r="A40" s="11" t="s">
        <v>59</v>
      </c>
      <c r="B40" s="15" t="s">
        <v>16</v>
      </c>
      <c r="C40" s="13" t="s">
        <v>14</v>
      </c>
      <c r="D40" s="16">
        <v>4</v>
      </c>
      <c r="E40" s="11" t="s">
        <v>260</v>
      </c>
    </row>
    <row r="41" spans="1:5" ht="15.75" customHeight="1" x14ac:dyDescent="0.25">
      <c r="A41" s="11" t="s">
        <v>60</v>
      </c>
      <c r="B41" s="17" t="s">
        <v>18</v>
      </c>
      <c r="C41" s="13" t="s">
        <v>14</v>
      </c>
      <c r="D41" s="18">
        <v>6</v>
      </c>
      <c r="E41" s="11" t="s">
        <v>262</v>
      </c>
    </row>
    <row r="42" spans="1:5" ht="15.75" customHeight="1" x14ac:dyDescent="0.25">
      <c r="A42" s="11" t="s">
        <v>61</v>
      </c>
      <c r="B42" s="19" t="s">
        <v>20</v>
      </c>
      <c r="C42" s="13" t="s">
        <v>14</v>
      </c>
      <c r="D42" s="20">
        <v>6</v>
      </c>
      <c r="E42" s="11" t="s">
        <v>263</v>
      </c>
    </row>
    <row r="43" spans="1:5" ht="15.75" customHeight="1" x14ac:dyDescent="0.25">
      <c r="A43" s="8" t="s">
        <v>62</v>
      </c>
      <c r="B43" s="9" t="s">
        <v>63</v>
      </c>
      <c r="C43" s="10" t="s">
        <v>11</v>
      </c>
      <c r="D43" s="10">
        <f>SUM(D44:D46)</f>
        <v>6</v>
      </c>
      <c r="E43" s="8"/>
    </row>
    <row r="44" spans="1:5" ht="15.75" customHeight="1" x14ac:dyDescent="0.25">
      <c r="A44" s="11" t="s">
        <v>64</v>
      </c>
      <c r="B44" s="15" t="s">
        <v>16</v>
      </c>
      <c r="C44" s="13" t="s">
        <v>14</v>
      </c>
      <c r="D44" s="16">
        <v>2</v>
      </c>
      <c r="E44" s="11" t="s">
        <v>260</v>
      </c>
    </row>
    <row r="45" spans="1:5" ht="15.75" customHeight="1" x14ac:dyDescent="0.25">
      <c r="A45" s="11" t="s">
        <v>65</v>
      </c>
      <c r="B45" s="17" t="s">
        <v>18</v>
      </c>
      <c r="C45" s="13" t="s">
        <v>14</v>
      </c>
      <c r="D45" s="18">
        <v>2</v>
      </c>
      <c r="E45" s="11" t="s">
        <v>262</v>
      </c>
    </row>
    <row r="46" spans="1:5" ht="15.75" customHeight="1" x14ac:dyDescent="0.25">
      <c r="A46" s="11" t="s">
        <v>66</v>
      </c>
      <c r="B46" s="19" t="s">
        <v>20</v>
      </c>
      <c r="C46" s="13" t="s">
        <v>14</v>
      </c>
      <c r="D46" s="20">
        <v>2</v>
      </c>
      <c r="E46" s="11" t="s">
        <v>263</v>
      </c>
    </row>
    <row r="47" spans="1:5" ht="15.75" customHeight="1" x14ac:dyDescent="0.25">
      <c r="A47" s="8" t="s">
        <v>67</v>
      </c>
      <c r="B47" s="9" t="s">
        <v>68</v>
      </c>
      <c r="C47" s="10" t="s">
        <v>11</v>
      </c>
      <c r="D47" s="10">
        <f>SUM(D48:D50)</f>
        <v>6</v>
      </c>
      <c r="E47" s="8"/>
    </row>
    <row r="48" spans="1:5" ht="15.75" customHeight="1" x14ac:dyDescent="0.25">
      <c r="A48" s="11" t="s">
        <v>69</v>
      </c>
      <c r="B48" s="15" t="s">
        <v>16</v>
      </c>
      <c r="C48" s="13" t="s">
        <v>14</v>
      </c>
      <c r="D48" s="16">
        <v>2</v>
      </c>
      <c r="E48" s="11" t="s">
        <v>260</v>
      </c>
    </row>
    <row r="49" spans="1:5" ht="15.75" customHeight="1" x14ac:dyDescent="0.25">
      <c r="A49" s="11" t="s">
        <v>70</v>
      </c>
      <c r="B49" s="17" t="s">
        <v>18</v>
      </c>
      <c r="C49" s="13" t="s">
        <v>14</v>
      </c>
      <c r="D49" s="18">
        <v>2</v>
      </c>
      <c r="E49" s="11" t="s">
        <v>262</v>
      </c>
    </row>
    <row r="50" spans="1:5" ht="15.75" customHeight="1" x14ac:dyDescent="0.25">
      <c r="A50" s="11" t="s">
        <v>71</v>
      </c>
      <c r="B50" s="19" t="s">
        <v>20</v>
      </c>
      <c r="C50" s="13" t="s">
        <v>14</v>
      </c>
      <c r="D50" s="20">
        <v>2</v>
      </c>
      <c r="E50" s="11" t="s">
        <v>263</v>
      </c>
    </row>
    <row r="51" spans="1:5" ht="25.5" customHeight="1" x14ac:dyDescent="0.25">
      <c r="A51" s="5" t="s">
        <v>72</v>
      </c>
      <c r="B51" s="6" t="s">
        <v>73</v>
      </c>
      <c r="C51" s="7" t="s">
        <v>9</v>
      </c>
      <c r="D51" s="7">
        <v>76</v>
      </c>
      <c r="E51" s="5"/>
    </row>
    <row r="52" spans="1:5" ht="15.75" customHeight="1" x14ac:dyDescent="0.25">
      <c r="A52" s="8" t="s">
        <v>74</v>
      </c>
      <c r="B52" s="9" t="s">
        <v>75</v>
      </c>
      <c r="C52" s="10" t="s">
        <v>11</v>
      </c>
      <c r="D52" s="10">
        <f>SUM(D53:D56)</f>
        <v>24</v>
      </c>
      <c r="E52" s="8"/>
    </row>
    <row r="53" spans="1:5" ht="15.75" customHeight="1" x14ac:dyDescent="0.25">
      <c r="A53" s="11" t="s">
        <v>76</v>
      </c>
      <c r="B53" s="12" t="s">
        <v>13</v>
      </c>
      <c r="C53" s="13" t="s">
        <v>14</v>
      </c>
      <c r="D53" s="14">
        <v>4</v>
      </c>
      <c r="E53" s="11" t="s">
        <v>261</v>
      </c>
    </row>
    <row r="54" spans="1:5" ht="15.75" customHeight="1" x14ac:dyDescent="0.25">
      <c r="A54" s="11" t="s">
        <v>77</v>
      </c>
      <c r="B54" s="15" t="s">
        <v>16</v>
      </c>
      <c r="C54" s="13" t="s">
        <v>14</v>
      </c>
      <c r="D54" s="16">
        <v>8</v>
      </c>
      <c r="E54" s="11" t="s">
        <v>261</v>
      </c>
    </row>
    <row r="55" spans="1:5" ht="15.75" customHeight="1" x14ac:dyDescent="0.25">
      <c r="A55" s="11" t="s">
        <v>78</v>
      </c>
      <c r="B55" s="17" t="s">
        <v>18</v>
      </c>
      <c r="C55" s="13" t="s">
        <v>14</v>
      </c>
      <c r="D55" s="18">
        <v>7</v>
      </c>
      <c r="E55" s="11" t="s">
        <v>262</v>
      </c>
    </row>
    <row r="56" spans="1:5" ht="15.75" customHeight="1" x14ac:dyDescent="0.25">
      <c r="A56" s="11" t="s">
        <v>79</v>
      </c>
      <c r="B56" s="19" t="s">
        <v>20</v>
      </c>
      <c r="C56" s="13" t="s">
        <v>14</v>
      </c>
      <c r="D56" s="20">
        <v>5</v>
      </c>
      <c r="E56" s="11" t="s">
        <v>263</v>
      </c>
    </row>
    <row r="57" spans="1:5" ht="15.75" customHeight="1" x14ac:dyDescent="0.25">
      <c r="A57" s="8" t="s">
        <v>80</v>
      </c>
      <c r="B57" s="9" t="s">
        <v>81</v>
      </c>
      <c r="C57" s="10" t="s">
        <v>11</v>
      </c>
      <c r="D57" s="10">
        <f>SUM(D58:D60)</f>
        <v>14</v>
      </c>
      <c r="E57" s="8"/>
    </row>
    <row r="58" spans="1:5" ht="15.75" customHeight="1" x14ac:dyDescent="0.25">
      <c r="A58" s="11" t="s">
        <v>82</v>
      </c>
      <c r="B58" s="15" t="s">
        <v>16</v>
      </c>
      <c r="C58" s="13" t="s">
        <v>14</v>
      </c>
      <c r="D58" s="16">
        <v>6</v>
      </c>
      <c r="E58" s="11" t="s">
        <v>261</v>
      </c>
    </row>
    <row r="59" spans="1:5" ht="15.75" customHeight="1" x14ac:dyDescent="0.25">
      <c r="A59" s="11" t="s">
        <v>83</v>
      </c>
      <c r="B59" s="17" t="s">
        <v>18</v>
      </c>
      <c r="C59" s="13" t="s">
        <v>14</v>
      </c>
      <c r="D59" s="18">
        <v>4</v>
      </c>
      <c r="E59" s="11" t="s">
        <v>262</v>
      </c>
    </row>
    <row r="60" spans="1:5" ht="15.75" customHeight="1" x14ac:dyDescent="0.25">
      <c r="A60" s="11" t="s">
        <v>84</v>
      </c>
      <c r="B60" s="19" t="s">
        <v>20</v>
      </c>
      <c r="C60" s="13" t="s">
        <v>14</v>
      </c>
      <c r="D60" s="20">
        <v>4</v>
      </c>
      <c r="E60" s="11" t="s">
        <v>263</v>
      </c>
    </row>
    <row r="61" spans="1:5" ht="15.75" customHeight="1" x14ac:dyDescent="0.25">
      <c r="A61" s="8" t="s">
        <v>85</v>
      </c>
      <c r="B61" s="9" t="s">
        <v>86</v>
      </c>
      <c r="C61" s="10" t="s">
        <v>11</v>
      </c>
      <c r="D61" s="10">
        <f>SUM(D62:D64)</f>
        <v>12</v>
      </c>
      <c r="E61" s="8"/>
    </row>
    <row r="62" spans="1:5" ht="15.75" customHeight="1" x14ac:dyDescent="0.25">
      <c r="A62" s="11" t="s">
        <v>87</v>
      </c>
      <c r="B62" s="15" t="s">
        <v>16</v>
      </c>
      <c r="C62" s="13" t="s">
        <v>14</v>
      </c>
      <c r="D62" s="16">
        <v>4</v>
      </c>
      <c r="E62" s="11" t="s">
        <v>261</v>
      </c>
    </row>
    <row r="63" spans="1:5" ht="15.75" customHeight="1" x14ac:dyDescent="0.25">
      <c r="A63" s="11" t="s">
        <v>88</v>
      </c>
      <c r="B63" s="17" t="s">
        <v>18</v>
      </c>
      <c r="C63" s="13" t="s">
        <v>14</v>
      </c>
      <c r="D63" s="18">
        <v>4</v>
      </c>
      <c r="E63" s="11" t="s">
        <v>262</v>
      </c>
    </row>
    <row r="64" spans="1:5" ht="15.75" customHeight="1" x14ac:dyDescent="0.25">
      <c r="A64" s="11" t="s">
        <v>89</v>
      </c>
      <c r="B64" s="19" t="s">
        <v>20</v>
      </c>
      <c r="C64" s="13" t="s">
        <v>14</v>
      </c>
      <c r="D64" s="20">
        <v>4</v>
      </c>
      <c r="E64" s="11" t="s">
        <v>263</v>
      </c>
    </row>
    <row r="65" spans="1:5" ht="15.75" customHeight="1" x14ac:dyDescent="0.25">
      <c r="A65" s="8" t="s">
        <v>90</v>
      </c>
      <c r="B65" s="9" t="s">
        <v>91</v>
      </c>
      <c r="C65" s="10" t="s">
        <v>11</v>
      </c>
      <c r="D65" s="10">
        <f>SUM(D66:D68)</f>
        <v>22</v>
      </c>
      <c r="E65" s="8"/>
    </row>
    <row r="66" spans="1:5" ht="15.75" customHeight="1" x14ac:dyDescent="0.25">
      <c r="A66" s="11" t="s">
        <v>92</v>
      </c>
      <c r="B66" s="15" t="s">
        <v>16</v>
      </c>
      <c r="C66" s="13" t="s">
        <v>14</v>
      </c>
      <c r="D66" s="16">
        <v>8</v>
      </c>
      <c r="E66" s="11" t="s">
        <v>261</v>
      </c>
    </row>
    <row r="67" spans="1:5" ht="15.75" customHeight="1" x14ac:dyDescent="0.25">
      <c r="A67" s="11" t="s">
        <v>93</v>
      </c>
      <c r="B67" s="17" t="s">
        <v>18</v>
      </c>
      <c r="C67" s="13" t="s">
        <v>14</v>
      </c>
      <c r="D67" s="18">
        <v>6</v>
      </c>
      <c r="E67" s="11" t="s">
        <v>262</v>
      </c>
    </row>
    <row r="68" spans="1:5" ht="15.75" customHeight="1" x14ac:dyDescent="0.25">
      <c r="A68" s="11" t="s">
        <v>94</v>
      </c>
      <c r="B68" s="19" t="s">
        <v>20</v>
      </c>
      <c r="C68" s="13" t="s">
        <v>14</v>
      </c>
      <c r="D68" s="20">
        <v>8</v>
      </c>
      <c r="E68" s="11" t="s">
        <v>263</v>
      </c>
    </row>
    <row r="69" spans="1:5" ht="15.75" customHeight="1" x14ac:dyDescent="0.25">
      <c r="A69" s="8" t="s">
        <v>95</v>
      </c>
      <c r="B69" s="9" t="s">
        <v>96</v>
      </c>
      <c r="C69" s="10" t="s">
        <v>11</v>
      </c>
      <c r="D69" s="10">
        <f>SUM(D70:D72)</f>
        <v>4</v>
      </c>
      <c r="E69" s="8"/>
    </row>
    <row r="70" spans="1:5" ht="15.75" customHeight="1" x14ac:dyDescent="0.25">
      <c r="A70" s="11" t="s">
        <v>97</v>
      </c>
      <c r="B70" s="15" t="s">
        <v>16</v>
      </c>
      <c r="C70" s="13" t="s">
        <v>14</v>
      </c>
      <c r="D70" s="16">
        <v>2</v>
      </c>
      <c r="E70" s="11" t="s">
        <v>261</v>
      </c>
    </row>
    <row r="71" spans="1:5" ht="15.75" customHeight="1" x14ac:dyDescent="0.25">
      <c r="A71" s="11" t="s">
        <v>98</v>
      </c>
      <c r="B71" s="17" t="s">
        <v>18</v>
      </c>
      <c r="C71" s="13" t="s">
        <v>14</v>
      </c>
      <c r="D71" s="18">
        <v>1</v>
      </c>
      <c r="E71" s="11" t="s">
        <v>262</v>
      </c>
    </row>
    <row r="72" spans="1:5" ht="15.75" customHeight="1" x14ac:dyDescent="0.25">
      <c r="A72" s="11" t="s">
        <v>99</v>
      </c>
      <c r="B72" s="19" t="s">
        <v>20</v>
      </c>
      <c r="C72" s="13" t="s">
        <v>14</v>
      </c>
      <c r="D72" s="20">
        <v>1</v>
      </c>
      <c r="E72" s="11" t="s">
        <v>263</v>
      </c>
    </row>
    <row r="73" spans="1:5" ht="25.5" customHeight="1" x14ac:dyDescent="0.25">
      <c r="A73" s="5" t="s">
        <v>100</v>
      </c>
      <c r="B73" s="6" t="s">
        <v>101</v>
      </c>
      <c r="C73" s="7" t="s">
        <v>9</v>
      </c>
      <c r="D73" s="7">
        <v>63</v>
      </c>
      <c r="E73" s="5"/>
    </row>
    <row r="74" spans="1:5" ht="15.75" customHeight="1" x14ac:dyDescent="0.25">
      <c r="A74" s="8" t="s">
        <v>102</v>
      </c>
      <c r="B74" s="9" t="s">
        <v>103</v>
      </c>
      <c r="C74" s="10" t="s">
        <v>11</v>
      </c>
      <c r="D74" s="10">
        <f>SUM(D75:D78)</f>
        <v>24</v>
      </c>
      <c r="E74" s="8"/>
    </row>
    <row r="75" spans="1:5" ht="15.75" customHeight="1" x14ac:dyDescent="0.25">
      <c r="A75" s="11" t="s">
        <v>104</v>
      </c>
      <c r="B75" s="12" t="s">
        <v>13</v>
      </c>
      <c r="C75" s="13" t="s">
        <v>14</v>
      </c>
      <c r="D75" s="14">
        <v>6</v>
      </c>
      <c r="E75" s="11" t="s">
        <v>260</v>
      </c>
    </row>
    <row r="76" spans="1:5" ht="15.75" customHeight="1" x14ac:dyDescent="0.25">
      <c r="A76" s="11" t="s">
        <v>105</v>
      </c>
      <c r="B76" s="15" t="s">
        <v>16</v>
      </c>
      <c r="C76" s="13" t="s">
        <v>14</v>
      </c>
      <c r="D76" s="16">
        <v>6</v>
      </c>
      <c r="E76" s="11" t="s">
        <v>260</v>
      </c>
    </row>
    <row r="77" spans="1:5" ht="15.75" customHeight="1" x14ac:dyDescent="0.25">
      <c r="A77" s="11" t="s">
        <v>106</v>
      </c>
      <c r="B77" s="17" t="s">
        <v>18</v>
      </c>
      <c r="C77" s="13" t="s">
        <v>14</v>
      </c>
      <c r="D77" s="18">
        <v>6</v>
      </c>
      <c r="E77" s="11" t="s">
        <v>262</v>
      </c>
    </row>
    <row r="78" spans="1:5" ht="15.75" customHeight="1" x14ac:dyDescent="0.25">
      <c r="A78" s="11" t="s">
        <v>107</v>
      </c>
      <c r="B78" s="19" t="s">
        <v>20</v>
      </c>
      <c r="C78" s="13" t="s">
        <v>14</v>
      </c>
      <c r="D78" s="20">
        <v>6</v>
      </c>
      <c r="E78" s="11" t="s">
        <v>263</v>
      </c>
    </row>
    <row r="79" spans="1:5" ht="15.75" customHeight="1" x14ac:dyDescent="0.25">
      <c r="A79" s="8" t="s">
        <v>108</v>
      </c>
      <c r="B79" s="9" t="s">
        <v>109</v>
      </c>
      <c r="C79" s="10" t="s">
        <v>11</v>
      </c>
      <c r="D79" s="10">
        <f>SUM(D80:D82)</f>
        <v>14</v>
      </c>
      <c r="E79" s="8"/>
    </row>
    <row r="80" spans="1:5" ht="15.75" customHeight="1" x14ac:dyDescent="0.25">
      <c r="A80" s="11" t="s">
        <v>110</v>
      </c>
      <c r="B80" s="15" t="s">
        <v>16</v>
      </c>
      <c r="C80" s="13" t="s">
        <v>14</v>
      </c>
      <c r="D80" s="16">
        <v>4</v>
      </c>
      <c r="E80" s="11" t="s">
        <v>260</v>
      </c>
    </row>
    <row r="81" spans="1:5" ht="15.75" customHeight="1" x14ac:dyDescent="0.25">
      <c r="A81" s="11" t="s">
        <v>111</v>
      </c>
      <c r="B81" s="17" t="s">
        <v>18</v>
      </c>
      <c r="C81" s="13" t="s">
        <v>14</v>
      </c>
      <c r="D81" s="18">
        <v>5</v>
      </c>
      <c r="E81" s="11" t="s">
        <v>262</v>
      </c>
    </row>
    <row r="82" spans="1:5" ht="15.75" customHeight="1" x14ac:dyDescent="0.25">
      <c r="A82" s="11" t="s">
        <v>112</v>
      </c>
      <c r="B82" s="19" t="s">
        <v>20</v>
      </c>
      <c r="C82" s="13" t="s">
        <v>14</v>
      </c>
      <c r="D82" s="20">
        <v>5</v>
      </c>
      <c r="E82" s="11" t="s">
        <v>263</v>
      </c>
    </row>
    <row r="83" spans="1:5" ht="15.75" customHeight="1" x14ac:dyDescent="0.25">
      <c r="A83" s="8" t="s">
        <v>113</v>
      </c>
      <c r="B83" s="9" t="s">
        <v>114</v>
      </c>
      <c r="C83" s="10" t="s">
        <v>11</v>
      </c>
      <c r="D83" s="10">
        <f>SUM(D84:D86)</f>
        <v>11</v>
      </c>
      <c r="E83" s="8"/>
    </row>
    <row r="84" spans="1:5" ht="15.75" customHeight="1" x14ac:dyDescent="0.25">
      <c r="A84" s="11" t="s">
        <v>115</v>
      </c>
      <c r="B84" s="15" t="s">
        <v>16</v>
      </c>
      <c r="C84" s="13" t="s">
        <v>14</v>
      </c>
      <c r="D84" s="16">
        <v>4</v>
      </c>
      <c r="E84" s="11" t="s">
        <v>260</v>
      </c>
    </row>
    <row r="85" spans="1:5" ht="15.75" customHeight="1" x14ac:dyDescent="0.25">
      <c r="A85" s="11" t="s">
        <v>116</v>
      </c>
      <c r="B85" s="17" t="s">
        <v>18</v>
      </c>
      <c r="C85" s="13" t="s">
        <v>14</v>
      </c>
      <c r="D85" s="18">
        <v>4</v>
      </c>
      <c r="E85" s="11" t="s">
        <v>262</v>
      </c>
    </row>
    <row r="86" spans="1:5" ht="15.75" customHeight="1" x14ac:dyDescent="0.25">
      <c r="A86" s="11" t="s">
        <v>117</v>
      </c>
      <c r="B86" s="19" t="s">
        <v>20</v>
      </c>
      <c r="C86" s="13" t="s">
        <v>14</v>
      </c>
      <c r="D86" s="20">
        <v>3</v>
      </c>
      <c r="E86" s="11" t="s">
        <v>263</v>
      </c>
    </row>
    <row r="87" spans="1:5" ht="15.75" customHeight="1" x14ac:dyDescent="0.25">
      <c r="A87" s="8" t="s">
        <v>118</v>
      </c>
      <c r="B87" s="9" t="s">
        <v>119</v>
      </c>
      <c r="C87" s="10" t="s">
        <v>11</v>
      </c>
      <c r="D87" s="10">
        <f>SUM(D88:D90)</f>
        <v>7</v>
      </c>
      <c r="E87" s="8"/>
    </row>
    <row r="88" spans="1:5" ht="15.75" customHeight="1" x14ac:dyDescent="0.25">
      <c r="A88" s="11" t="s">
        <v>120</v>
      </c>
      <c r="B88" s="15" t="s">
        <v>16</v>
      </c>
      <c r="C88" s="13" t="s">
        <v>14</v>
      </c>
      <c r="D88" s="16">
        <v>3</v>
      </c>
      <c r="E88" s="11" t="s">
        <v>260</v>
      </c>
    </row>
    <row r="89" spans="1:5" ht="15.75" customHeight="1" x14ac:dyDescent="0.25">
      <c r="A89" s="11" t="s">
        <v>121</v>
      </c>
      <c r="B89" s="17" t="s">
        <v>18</v>
      </c>
      <c r="C89" s="13" t="s">
        <v>14</v>
      </c>
      <c r="D89" s="18">
        <v>2</v>
      </c>
      <c r="E89" s="11" t="s">
        <v>262</v>
      </c>
    </row>
    <row r="90" spans="1:5" ht="15.75" customHeight="1" x14ac:dyDescent="0.25">
      <c r="A90" s="11" t="s">
        <v>122</v>
      </c>
      <c r="B90" s="19" t="s">
        <v>20</v>
      </c>
      <c r="C90" s="13" t="s">
        <v>14</v>
      </c>
      <c r="D90" s="20">
        <v>2</v>
      </c>
      <c r="E90" s="11" t="s">
        <v>263</v>
      </c>
    </row>
    <row r="91" spans="1:5" ht="15.75" customHeight="1" x14ac:dyDescent="0.25">
      <c r="A91" s="8" t="s">
        <v>123</v>
      </c>
      <c r="B91" s="9" t="s">
        <v>124</v>
      </c>
      <c r="C91" s="10" t="s">
        <v>11</v>
      </c>
      <c r="D91" s="10">
        <f>SUM(D92:D93)</f>
        <v>7</v>
      </c>
      <c r="E91" s="8"/>
    </row>
    <row r="92" spans="1:5" ht="15.75" customHeight="1" x14ac:dyDescent="0.25">
      <c r="A92" s="11" t="s">
        <v>125</v>
      </c>
      <c r="B92" s="15" t="s">
        <v>16</v>
      </c>
      <c r="C92" s="13" t="s">
        <v>14</v>
      </c>
      <c r="D92" s="16">
        <v>4</v>
      </c>
      <c r="E92" s="11" t="s">
        <v>260</v>
      </c>
    </row>
    <row r="93" spans="1:5" ht="15.75" customHeight="1" x14ac:dyDescent="0.25">
      <c r="A93" s="11" t="s">
        <v>126</v>
      </c>
      <c r="B93" s="17" t="s">
        <v>18</v>
      </c>
      <c r="C93" s="13" t="s">
        <v>14</v>
      </c>
      <c r="D93" s="18">
        <v>3</v>
      </c>
      <c r="E93" s="11" t="s">
        <v>262</v>
      </c>
    </row>
    <row r="94" spans="1:5" ht="25.5" customHeight="1" x14ac:dyDescent="0.25">
      <c r="A94" s="5" t="s">
        <v>127</v>
      </c>
      <c r="B94" s="6" t="s">
        <v>128</v>
      </c>
      <c r="C94" s="7" t="s">
        <v>9</v>
      </c>
      <c r="D94" s="7">
        <v>129</v>
      </c>
      <c r="E94" s="5"/>
    </row>
    <row r="95" spans="1:5" ht="15.75" customHeight="1" x14ac:dyDescent="0.25">
      <c r="A95" s="8" t="s">
        <v>129</v>
      </c>
      <c r="B95" s="9" t="s">
        <v>130</v>
      </c>
      <c r="C95" s="10" t="s">
        <v>11</v>
      </c>
      <c r="D95" s="10">
        <f>SUM(D96:D98)</f>
        <v>11</v>
      </c>
      <c r="E95" s="8"/>
    </row>
    <row r="96" spans="1:5" ht="15.75" customHeight="1" x14ac:dyDescent="0.25">
      <c r="A96" s="11" t="s">
        <v>131</v>
      </c>
      <c r="B96" s="12" t="s">
        <v>13</v>
      </c>
      <c r="C96" s="13" t="s">
        <v>14</v>
      </c>
      <c r="D96" s="14">
        <v>2</v>
      </c>
      <c r="E96" s="11" t="s">
        <v>261</v>
      </c>
    </row>
    <row r="97" spans="1:5" ht="15.75" customHeight="1" x14ac:dyDescent="0.25">
      <c r="A97" s="11" t="s">
        <v>132</v>
      </c>
      <c r="B97" s="15" t="s">
        <v>16</v>
      </c>
      <c r="C97" s="13" t="s">
        <v>14</v>
      </c>
      <c r="D97" s="16">
        <v>4</v>
      </c>
      <c r="E97" s="11" t="s">
        <v>261</v>
      </c>
    </row>
    <row r="98" spans="1:5" ht="15.75" customHeight="1" x14ac:dyDescent="0.25">
      <c r="A98" s="11" t="s">
        <v>133</v>
      </c>
      <c r="B98" s="17" t="s">
        <v>18</v>
      </c>
      <c r="C98" s="13" t="s">
        <v>14</v>
      </c>
      <c r="D98" s="18">
        <v>5</v>
      </c>
      <c r="E98" s="11" t="s">
        <v>262</v>
      </c>
    </row>
    <row r="99" spans="1:5" ht="15.75" customHeight="1" x14ac:dyDescent="0.25">
      <c r="A99" s="8" t="s">
        <v>134</v>
      </c>
      <c r="B99" s="9" t="s">
        <v>135</v>
      </c>
      <c r="C99" s="10" t="s">
        <v>11</v>
      </c>
      <c r="D99" s="10">
        <f>SUM(D100:D102)</f>
        <v>21</v>
      </c>
      <c r="E99" s="8"/>
    </row>
    <row r="100" spans="1:5" ht="15.75" customHeight="1" x14ac:dyDescent="0.25">
      <c r="A100" s="11" t="s">
        <v>136</v>
      </c>
      <c r="B100" s="15" t="s">
        <v>16</v>
      </c>
      <c r="C100" s="13" t="s">
        <v>14</v>
      </c>
      <c r="D100" s="16">
        <v>6</v>
      </c>
      <c r="E100" s="11" t="s">
        <v>261</v>
      </c>
    </row>
    <row r="101" spans="1:5" ht="15.75" customHeight="1" x14ac:dyDescent="0.25">
      <c r="A101" s="11" t="s">
        <v>137</v>
      </c>
      <c r="B101" s="17" t="s">
        <v>18</v>
      </c>
      <c r="C101" s="13" t="s">
        <v>14</v>
      </c>
      <c r="D101" s="18">
        <v>7</v>
      </c>
      <c r="E101" s="11" t="s">
        <v>262</v>
      </c>
    </row>
    <row r="102" spans="1:5" ht="15.75" customHeight="1" x14ac:dyDescent="0.25">
      <c r="A102" s="11" t="s">
        <v>138</v>
      </c>
      <c r="B102" s="19" t="s">
        <v>20</v>
      </c>
      <c r="C102" s="13" t="s">
        <v>14</v>
      </c>
      <c r="D102" s="20">
        <v>8</v>
      </c>
      <c r="E102" s="11" t="s">
        <v>263</v>
      </c>
    </row>
    <row r="103" spans="1:5" ht="15.75" customHeight="1" x14ac:dyDescent="0.25">
      <c r="A103" s="8" t="s">
        <v>139</v>
      </c>
      <c r="B103" s="9" t="s">
        <v>140</v>
      </c>
      <c r="C103" s="10" t="s">
        <v>11</v>
      </c>
      <c r="D103" s="10">
        <f>SUM(D104:D106)</f>
        <v>16</v>
      </c>
      <c r="E103" s="8"/>
    </row>
    <row r="104" spans="1:5" ht="15.75" customHeight="1" x14ac:dyDescent="0.25">
      <c r="A104" s="11" t="s">
        <v>141</v>
      </c>
      <c r="B104" s="15" t="s">
        <v>16</v>
      </c>
      <c r="C104" s="13" t="s">
        <v>14</v>
      </c>
      <c r="D104" s="16">
        <v>6</v>
      </c>
      <c r="E104" s="11" t="s">
        <v>261</v>
      </c>
    </row>
    <row r="105" spans="1:5" ht="15.75" customHeight="1" x14ac:dyDescent="0.25">
      <c r="A105" s="11" t="s">
        <v>142</v>
      </c>
      <c r="B105" s="17" t="s">
        <v>18</v>
      </c>
      <c r="C105" s="13" t="s">
        <v>14</v>
      </c>
      <c r="D105" s="18">
        <v>5</v>
      </c>
      <c r="E105" s="11" t="s">
        <v>262</v>
      </c>
    </row>
    <row r="106" spans="1:5" ht="15.75" customHeight="1" x14ac:dyDescent="0.25">
      <c r="A106" s="11" t="s">
        <v>143</v>
      </c>
      <c r="B106" s="19" t="s">
        <v>20</v>
      </c>
      <c r="C106" s="13" t="s">
        <v>14</v>
      </c>
      <c r="D106" s="20">
        <v>5</v>
      </c>
      <c r="E106" s="11" t="s">
        <v>263</v>
      </c>
    </row>
    <row r="107" spans="1:5" ht="15.75" customHeight="1" x14ac:dyDescent="0.25">
      <c r="A107" s="8" t="s">
        <v>144</v>
      </c>
      <c r="B107" s="9" t="s">
        <v>145</v>
      </c>
      <c r="C107" s="10" t="s">
        <v>11</v>
      </c>
      <c r="D107" s="10">
        <f>SUM(D108:D110)</f>
        <v>12</v>
      </c>
      <c r="E107" s="8"/>
    </row>
    <row r="108" spans="1:5" ht="15.75" customHeight="1" x14ac:dyDescent="0.25">
      <c r="A108" s="11" t="s">
        <v>146</v>
      </c>
      <c r="B108" s="15" t="s">
        <v>16</v>
      </c>
      <c r="C108" s="13" t="s">
        <v>14</v>
      </c>
      <c r="D108" s="16">
        <v>4</v>
      </c>
      <c r="E108" s="11" t="s">
        <v>261</v>
      </c>
    </row>
    <row r="109" spans="1:5" ht="15.75" customHeight="1" x14ac:dyDescent="0.25">
      <c r="A109" s="11" t="s">
        <v>147</v>
      </c>
      <c r="B109" s="17" t="s">
        <v>18</v>
      </c>
      <c r="C109" s="13" t="s">
        <v>14</v>
      </c>
      <c r="D109" s="18">
        <v>4</v>
      </c>
      <c r="E109" s="11" t="s">
        <v>262</v>
      </c>
    </row>
    <row r="110" spans="1:5" ht="15.75" customHeight="1" x14ac:dyDescent="0.25">
      <c r="A110" s="11" t="s">
        <v>148</v>
      </c>
      <c r="B110" s="19" t="s">
        <v>20</v>
      </c>
      <c r="C110" s="13" t="s">
        <v>14</v>
      </c>
      <c r="D110" s="20">
        <v>4</v>
      </c>
      <c r="E110" s="11" t="s">
        <v>263</v>
      </c>
    </row>
    <row r="111" spans="1:5" ht="15.75" customHeight="1" x14ac:dyDescent="0.25">
      <c r="A111" s="8" t="s">
        <v>149</v>
      </c>
      <c r="B111" s="9" t="s">
        <v>150</v>
      </c>
      <c r="C111" s="10" t="s">
        <v>11</v>
      </c>
      <c r="D111" s="10">
        <f>SUM(D112:D114)</f>
        <v>15</v>
      </c>
      <c r="E111" s="8"/>
    </row>
    <row r="112" spans="1:5" ht="15.75" customHeight="1" x14ac:dyDescent="0.25">
      <c r="A112" s="11" t="s">
        <v>151</v>
      </c>
      <c r="B112" s="15" t="s">
        <v>16</v>
      </c>
      <c r="C112" s="13" t="s">
        <v>14</v>
      </c>
      <c r="D112" s="16">
        <v>6</v>
      </c>
      <c r="E112" s="11" t="s">
        <v>261</v>
      </c>
    </row>
    <row r="113" spans="1:5" ht="15.75" customHeight="1" x14ac:dyDescent="0.25">
      <c r="A113" s="11" t="s">
        <v>152</v>
      </c>
      <c r="B113" s="17" t="s">
        <v>18</v>
      </c>
      <c r="C113" s="13" t="s">
        <v>14</v>
      </c>
      <c r="D113" s="18">
        <v>4</v>
      </c>
      <c r="E113" s="11" t="s">
        <v>262</v>
      </c>
    </row>
    <row r="114" spans="1:5" ht="15.75" customHeight="1" x14ac:dyDescent="0.25">
      <c r="A114" s="11" t="s">
        <v>153</v>
      </c>
      <c r="B114" s="19" t="s">
        <v>20</v>
      </c>
      <c r="C114" s="13" t="s">
        <v>14</v>
      </c>
      <c r="D114" s="20">
        <v>5</v>
      </c>
      <c r="E114" s="11" t="s">
        <v>263</v>
      </c>
    </row>
    <row r="115" spans="1:5" ht="15.75" customHeight="1" x14ac:dyDescent="0.25">
      <c r="A115" s="8" t="s">
        <v>154</v>
      </c>
      <c r="B115" s="9" t="s">
        <v>155</v>
      </c>
      <c r="C115" s="10" t="s">
        <v>11</v>
      </c>
      <c r="D115" s="10">
        <f>SUM(D116:D118)</f>
        <v>14</v>
      </c>
      <c r="E115" s="8"/>
    </row>
    <row r="116" spans="1:5" ht="15.75" customHeight="1" x14ac:dyDescent="0.25">
      <c r="A116" s="11" t="s">
        <v>156</v>
      </c>
      <c r="B116" s="15" t="s">
        <v>16</v>
      </c>
      <c r="C116" s="13" t="s">
        <v>14</v>
      </c>
      <c r="D116" s="16">
        <v>6</v>
      </c>
      <c r="E116" s="11" t="s">
        <v>261</v>
      </c>
    </row>
    <row r="117" spans="1:5" ht="15.75" customHeight="1" x14ac:dyDescent="0.25">
      <c r="A117" s="11" t="s">
        <v>157</v>
      </c>
      <c r="B117" s="17" t="s">
        <v>18</v>
      </c>
      <c r="C117" s="13" t="s">
        <v>14</v>
      </c>
      <c r="D117" s="18">
        <v>5</v>
      </c>
      <c r="E117" s="11" t="s">
        <v>262</v>
      </c>
    </row>
    <row r="118" spans="1:5" ht="15.75" customHeight="1" x14ac:dyDescent="0.25">
      <c r="A118" s="11" t="s">
        <v>158</v>
      </c>
      <c r="B118" s="19" t="s">
        <v>20</v>
      </c>
      <c r="C118" s="13" t="s">
        <v>14</v>
      </c>
      <c r="D118" s="20">
        <v>3</v>
      </c>
      <c r="E118" s="11" t="s">
        <v>263</v>
      </c>
    </row>
    <row r="119" spans="1:5" ht="15.75" customHeight="1" x14ac:dyDescent="0.25">
      <c r="A119" s="8" t="s">
        <v>159</v>
      </c>
      <c r="B119" s="9" t="s">
        <v>160</v>
      </c>
      <c r="C119" s="10" t="s">
        <v>11</v>
      </c>
      <c r="D119" s="10">
        <f>SUM(D120:D122)</f>
        <v>6</v>
      </c>
      <c r="E119" s="8"/>
    </row>
    <row r="120" spans="1:5" ht="15.75" customHeight="1" x14ac:dyDescent="0.25">
      <c r="A120" s="11" t="s">
        <v>161</v>
      </c>
      <c r="B120" s="15" t="s">
        <v>16</v>
      </c>
      <c r="C120" s="13" t="s">
        <v>14</v>
      </c>
      <c r="D120" s="16">
        <v>2</v>
      </c>
      <c r="E120" s="11" t="s">
        <v>261</v>
      </c>
    </row>
    <row r="121" spans="1:5" ht="15.75" customHeight="1" x14ac:dyDescent="0.25">
      <c r="A121" s="11" t="s">
        <v>162</v>
      </c>
      <c r="B121" s="17" t="s">
        <v>18</v>
      </c>
      <c r="C121" s="13" t="s">
        <v>14</v>
      </c>
      <c r="D121" s="18">
        <v>2</v>
      </c>
      <c r="E121" s="11" t="s">
        <v>262</v>
      </c>
    </row>
    <row r="122" spans="1:5" ht="15.75" customHeight="1" x14ac:dyDescent="0.25">
      <c r="A122" s="11" t="s">
        <v>163</v>
      </c>
      <c r="B122" s="19" t="s">
        <v>20</v>
      </c>
      <c r="C122" s="13" t="s">
        <v>14</v>
      </c>
      <c r="D122" s="20">
        <v>2</v>
      </c>
      <c r="E122" s="11" t="s">
        <v>263</v>
      </c>
    </row>
    <row r="123" spans="1:5" ht="15.75" customHeight="1" x14ac:dyDescent="0.25">
      <c r="A123" s="8" t="s">
        <v>164</v>
      </c>
      <c r="B123" s="9" t="s">
        <v>165</v>
      </c>
      <c r="C123" s="10" t="s">
        <v>11</v>
      </c>
      <c r="D123" s="10">
        <f>SUM(D124:D126)</f>
        <v>7</v>
      </c>
      <c r="E123" s="8"/>
    </row>
    <row r="124" spans="1:5" ht="15.75" customHeight="1" x14ac:dyDescent="0.25">
      <c r="A124" s="11" t="s">
        <v>166</v>
      </c>
      <c r="B124" s="15" t="s">
        <v>16</v>
      </c>
      <c r="C124" s="13" t="s">
        <v>14</v>
      </c>
      <c r="D124" s="16">
        <v>2</v>
      </c>
      <c r="E124" s="11" t="s">
        <v>261</v>
      </c>
    </row>
    <row r="125" spans="1:5" ht="15.75" customHeight="1" x14ac:dyDescent="0.25">
      <c r="A125" s="11" t="s">
        <v>167</v>
      </c>
      <c r="B125" s="17" t="s">
        <v>18</v>
      </c>
      <c r="C125" s="13" t="s">
        <v>14</v>
      </c>
      <c r="D125" s="18">
        <v>2</v>
      </c>
      <c r="E125" s="11" t="s">
        <v>262</v>
      </c>
    </row>
    <row r="126" spans="1:5" ht="15.75" customHeight="1" x14ac:dyDescent="0.25">
      <c r="A126" s="11" t="s">
        <v>168</v>
      </c>
      <c r="B126" s="19" t="s">
        <v>20</v>
      </c>
      <c r="C126" s="13" t="s">
        <v>14</v>
      </c>
      <c r="D126" s="20">
        <v>3</v>
      </c>
      <c r="E126" s="11" t="s">
        <v>263</v>
      </c>
    </row>
    <row r="127" spans="1:5" ht="15.75" customHeight="1" x14ac:dyDescent="0.25">
      <c r="A127" s="8" t="s">
        <v>169</v>
      </c>
      <c r="B127" s="9" t="s">
        <v>170</v>
      </c>
      <c r="C127" s="10" t="s">
        <v>11</v>
      </c>
      <c r="D127" s="10">
        <f>SUM(D128:D130)</f>
        <v>11</v>
      </c>
      <c r="E127" s="8"/>
    </row>
    <row r="128" spans="1:5" ht="15.75" customHeight="1" x14ac:dyDescent="0.25">
      <c r="A128" s="11" t="s">
        <v>171</v>
      </c>
      <c r="B128" s="15" t="s">
        <v>16</v>
      </c>
      <c r="C128" s="13" t="s">
        <v>14</v>
      </c>
      <c r="D128" s="16">
        <v>4</v>
      </c>
      <c r="E128" s="11" t="s">
        <v>261</v>
      </c>
    </row>
    <row r="129" spans="1:5" ht="15.75" customHeight="1" x14ac:dyDescent="0.25">
      <c r="A129" s="11" t="s">
        <v>172</v>
      </c>
      <c r="B129" s="17" t="s">
        <v>18</v>
      </c>
      <c r="C129" s="13" t="s">
        <v>14</v>
      </c>
      <c r="D129" s="18">
        <v>4</v>
      </c>
      <c r="E129" s="11" t="s">
        <v>262</v>
      </c>
    </row>
    <row r="130" spans="1:5" ht="15.75" customHeight="1" x14ac:dyDescent="0.25">
      <c r="A130" s="11" t="s">
        <v>173</v>
      </c>
      <c r="B130" s="19" t="s">
        <v>20</v>
      </c>
      <c r="C130" s="13" t="s">
        <v>14</v>
      </c>
      <c r="D130" s="20">
        <v>3</v>
      </c>
      <c r="E130" s="11" t="s">
        <v>263</v>
      </c>
    </row>
    <row r="131" spans="1:5" ht="15.75" customHeight="1" x14ac:dyDescent="0.25">
      <c r="A131" s="8" t="s">
        <v>174</v>
      </c>
      <c r="B131" s="9" t="s">
        <v>175</v>
      </c>
      <c r="C131" s="10" t="s">
        <v>11</v>
      </c>
      <c r="D131" s="10">
        <f>SUM(D132:D134)</f>
        <v>8</v>
      </c>
      <c r="E131" s="8"/>
    </row>
    <row r="132" spans="1:5" ht="15.75" customHeight="1" x14ac:dyDescent="0.25">
      <c r="A132" s="11" t="s">
        <v>176</v>
      </c>
      <c r="B132" s="15" t="s">
        <v>16</v>
      </c>
      <c r="C132" s="13" t="s">
        <v>14</v>
      </c>
      <c r="D132" s="16">
        <v>4</v>
      </c>
      <c r="E132" s="11" t="s">
        <v>261</v>
      </c>
    </row>
    <row r="133" spans="1:5" ht="15.75" customHeight="1" x14ac:dyDescent="0.25">
      <c r="A133" s="11" t="s">
        <v>177</v>
      </c>
      <c r="B133" s="17" t="s">
        <v>18</v>
      </c>
      <c r="C133" s="13" t="s">
        <v>14</v>
      </c>
      <c r="D133" s="18">
        <v>2</v>
      </c>
      <c r="E133" s="11" t="s">
        <v>262</v>
      </c>
    </row>
    <row r="134" spans="1:5" ht="15.75" customHeight="1" x14ac:dyDescent="0.25">
      <c r="A134" s="11" t="s">
        <v>178</v>
      </c>
      <c r="B134" s="19" t="s">
        <v>20</v>
      </c>
      <c r="C134" s="13" t="s">
        <v>14</v>
      </c>
      <c r="D134" s="20">
        <v>2</v>
      </c>
      <c r="E134" s="11" t="s">
        <v>263</v>
      </c>
    </row>
    <row r="135" spans="1:5" ht="15.75" customHeight="1" x14ac:dyDescent="0.25">
      <c r="A135" s="8" t="s">
        <v>179</v>
      </c>
      <c r="B135" s="9" t="s">
        <v>180</v>
      </c>
      <c r="C135" s="10" t="s">
        <v>11</v>
      </c>
      <c r="D135" s="10">
        <f>SUM(D136:D138)</f>
        <v>8</v>
      </c>
      <c r="E135" s="8"/>
    </row>
    <row r="136" spans="1:5" ht="15.75" customHeight="1" x14ac:dyDescent="0.25">
      <c r="A136" s="11" t="s">
        <v>181</v>
      </c>
      <c r="B136" s="15" t="s">
        <v>16</v>
      </c>
      <c r="C136" s="13" t="s">
        <v>14</v>
      </c>
      <c r="D136" s="16">
        <v>4</v>
      </c>
      <c r="E136" s="11" t="s">
        <v>261</v>
      </c>
    </row>
    <row r="137" spans="1:5" ht="15.75" customHeight="1" x14ac:dyDescent="0.25">
      <c r="A137" s="11" t="s">
        <v>182</v>
      </c>
      <c r="B137" s="17" t="s">
        <v>18</v>
      </c>
      <c r="C137" s="13" t="s">
        <v>14</v>
      </c>
      <c r="D137" s="18">
        <v>2</v>
      </c>
      <c r="E137" s="11" t="s">
        <v>262</v>
      </c>
    </row>
    <row r="138" spans="1:5" ht="15.75" customHeight="1" x14ac:dyDescent="0.25">
      <c r="A138" s="11" t="s">
        <v>183</v>
      </c>
      <c r="B138" s="19" t="s">
        <v>20</v>
      </c>
      <c r="C138" s="13" t="s">
        <v>14</v>
      </c>
      <c r="D138" s="20">
        <v>2</v>
      </c>
      <c r="E138" s="11" t="s">
        <v>263</v>
      </c>
    </row>
    <row r="139" spans="1:5" ht="25.5" customHeight="1" x14ac:dyDescent="0.25">
      <c r="A139" s="5" t="s">
        <v>184</v>
      </c>
      <c r="B139" s="6" t="s">
        <v>185</v>
      </c>
      <c r="C139" s="7" t="s">
        <v>9</v>
      </c>
      <c r="D139" s="7">
        <v>62</v>
      </c>
      <c r="E139" s="5"/>
    </row>
    <row r="140" spans="1:5" ht="15.75" customHeight="1" x14ac:dyDescent="0.25">
      <c r="A140" s="8" t="s">
        <v>186</v>
      </c>
      <c r="B140" s="9" t="s">
        <v>187</v>
      </c>
      <c r="C140" s="10" t="s">
        <v>11</v>
      </c>
      <c r="D140" s="10">
        <f>SUM(D141:D144)</f>
        <v>20</v>
      </c>
      <c r="E140" s="8"/>
    </row>
    <row r="141" spans="1:5" ht="15.75" customHeight="1" x14ac:dyDescent="0.25">
      <c r="A141" s="11" t="s">
        <v>188</v>
      </c>
      <c r="B141" s="12" t="s">
        <v>13</v>
      </c>
      <c r="C141" s="13" t="s">
        <v>14</v>
      </c>
      <c r="D141" s="14">
        <v>2</v>
      </c>
      <c r="E141" s="11" t="s">
        <v>261</v>
      </c>
    </row>
    <row r="142" spans="1:5" ht="15.75" customHeight="1" x14ac:dyDescent="0.25">
      <c r="A142" s="11" t="s">
        <v>189</v>
      </c>
      <c r="B142" s="15" t="s">
        <v>16</v>
      </c>
      <c r="C142" s="13" t="s">
        <v>14</v>
      </c>
      <c r="D142" s="16">
        <v>6</v>
      </c>
      <c r="E142" s="11" t="s">
        <v>261</v>
      </c>
    </row>
    <row r="143" spans="1:5" ht="15.75" customHeight="1" x14ac:dyDescent="0.25">
      <c r="A143" s="11" t="s">
        <v>190</v>
      </c>
      <c r="B143" s="17" t="s">
        <v>18</v>
      </c>
      <c r="C143" s="13" t="s">
        <v>14</v>
      </c>
      <c r="D143" s="18">
        <v>6</v>
      </c>
      <c r="E143" s="11" t="s">
        <v>262</v>
      </c>
    </row>
    <row r="144" spans="1:5" ht="15.75" customHeight="1" x14ac:dyDescent="0.25">
      <c r="A144" s="11" t="s">
        <v>191</v>
      </c>
      <c r="B144" s="19" t="s">
        <v>20</v>
      </c>
      <c r="C144" s="13" t="s">
        <v>14</v>
      </c>
      <c r="D144" s="20">
        <v>6</v>
      </c>
      <c r="E144" s="11" t="s">
        <v>263</v>
      </c>
    </row>
    <row r="145" spans="1:5" ht="15.75" customHeight="1" x14ac:dyDescent="0.25">
      <c r="A145" s="8" t="s">
        <v>192</v>
      </c>
      <c r="B145" s="9" t="s">
        <v>193</v>
      </c>
      <c r="C145" s="10" t="s">
        <v>11</v>
      </c>
      <c r="D145" s="10">
        <f>SUM(D146:D149)</f>
        <v>16</v>
      </c>
      <c r="E145" s="8"/>
    </row>
    <row r="146" spans="1:5" ht="15.75" customHeight="1" x14ac:dyDescent="0.25">
      <c r="A146" s="11" t="s">
        <v>194</v>
      </c>
      <c r="B146" s="12" t="s">
        <v>13</v>
      </c>
      <c r="C146" s="13" t="s">
        <v>14</v>
      </c>
      <c r="D146" s="14">
        <v>2</v>
      </c>
      <c r="E146" s="11" t="s">
        <v>260</v>
      </c>
    </row>
    <row r="147" spans="1:5" ht="15.75" customHeight="1" x14ac:dyDescent="0.25">
      <c r="A147" s="11" t="s">
        <v>195</v>
      </c>
      <c r="B147" s="15" t="s">
        <v>16</v>
      </c>
      <c r="C147" s="13" t="s">
        <v>14</v>
      </c>
      <c r="D147" s="16">
        <v>6</v>
      </c>
      <c r="E147" s="11" t="s">
        <v>261</v>
      </c>
    </row>
    <row r="148" spans="1:5" ht="15.75" customHeight="1" x14ac:dyDescent="0.25">
      <c r="A148" s="11" t="s">
        <v>196</v>
      </c>
      <c r="B148" s="17" t="s">
        <v>18</v>
      </c>
      <c r="C148" s="13" t="s">
        <v>14</v>
      </c>
      <c r="D148" s="18">
        <v>5</v>
      </c>
      <c r="E148" s="11" t="s">
        <v>262</v>
      </c>
    </row>
    <row r="149" spans="1:5" ht="15.75" customHeight="1" x14ac:dyDescent="0.25">
      <c r="A149" s="11" t="s">
        <v>197</v>
      </c>
      <c r="B149" s="19" t="s">
        <v>20</v>
      </c>
      <c r="C149" s="13" t="s">
        <v>14</v>
      </c>
      <c r="D149" s="20">
        <v>3</v>
      </c>
      <c r="E149" s="11" t="s">
        <v>263</v>
      </c>
    </row>
    <row r="150" spans="1:5" ht="15.75" customHeight="1" x14ac:dyDescent="0.25">
      <c r="A150" s="8" t="s">
        <v>198</v>
      </c>
      <c r="B150" s="9" t="s">
        <v>199</v>
      </c>
      <c r="C150" s="10" t="s">
        <v>11</v>
      </c>
      <c r="D150" s="10">
        <f>SUM(D151:D154)</f>
        <v>9</v>
      </c>
      <c r="E150" s="8"/>
    </row>
    <row r="151" spans="1:5" ht="15.75" customHeight="1" x14ac:dyDescent="0.25">
      <c r="A151" s="11" t="s">
        <v>200</v>
      </c>
      <c r="B151" s="12" t="s">
        <v>13</v>
      </c>
      <c r="C151" s="13" t="s">
        <v>14</v>
      </c>
      <c r="D151" s="14">
        <v>2</v>
      </c>
      <c r="E151" s="11" t="s">
        <v>260</v>
      </c>
    </row>
    <row r="152" spans="1:5" ht="15.75" customHeight="1" x14ac:dyDescent="0.25">
      <c r="A152" s="11" t="s">
        <v>201</v>
      </c>
      <c r="B152" s="15" t="s">
        <v>16</v>
      </c>
      <c r="C152" s="13" t="s">
        <v>14</v>
      </c>
      <c r="D152" s="16">
        <v>3</v>
      </c>
      <c r="E152" s="11" t="s">
        <v>261</v>
      </c>
    </row>
    <row r="153" spans="1:5" ht="15.75" customHeight="1" x14ac:dyDescent="0.25">
      <c r="A153" s="11" t="s">
        <v>202</v>
      </c>
      <c r="B153" s="17" t="s">
        <v>18</v>
      </c>
      <c r="C153" s="13" t="s">
        <v>14</v>
      </c>
      <c r="D153" s="18">
        <v>2</v>
      </c>
      <c r="E153" s="11" t="s">
        <v>262</v>
      </c>
    </row>
    <row r="154" spans="1:5" ht="15.75" customHeight="1" x14ac:dyDescent="0.25">
      <c r="A154" s="11" t="s">
        <v>203</v>
      </c>
      <c r="B154" s="19" t="s">
        <v>20</v>
      </c>
      <c r="C154" s="13" t="s">
        <v>14</v>
      </c>
      <c r="D154" s="20">
        <v>2</v>
      </c>
      <c r="E154" s="11" t="s">
        <v>263</v>
      </c>
    </row>
    <row r="155" spans="1:5" ht="15.75" customHeight="1" x14ac:dyDescent="0.25">
      <c r="A155" s="8" t="s">
        <v>204</v>
      </c>
      <c r="B155" s="9" t="s">
        <v>205</v>
      </c>
      <c r="C155" s="10" t="s">
        <v>11</v>
      </c>
      <c r="D155" s="10">
        <f>SUM(D156:D159)</f>
        <v>8</v>
      </c>
      <c r="E155" s="8"/>
    </row>
    <row r="156" spans="1:5" ht="15.75" customHeight="1" x14ac:dyDescent="0.25">
      <c r="A156" s="11" t="s">
        <v>206</v>
      </c>
      <c r="B156" s="12" t="s">
        <v>13</v>
      </c>
      <c r="C156" s="13" t="s">
        <v>14</v>
      </c>
      <c r="D156" s="14">
        <v>2</v>
      </c>
      <c r="E156" s="11" t="s">
        <v>260</v>
      </c>
    </row>
    <row r="157" spans="1:5" ht="15.75" customHeight="1" x14ac:dyDescent="0.25">
      <c r="A157" s="11" t="s">
        <v>207</v>
      </c>
      <c r="B157" s="15" t="s">
        <v>16</v>
      </c>
      <c r="C157" s="13" t="s">
        <v>14</v>
      </c>
      <c r="D157" s="16">
        <v>2</v>
      </c>
      <c r="E157" s="11" t="s">
        <v>261</v>
      </c>
    </row>
    <row r="158" spans="1:5" ht="15.75" customHeight="1" x14ac:dyDescent="0.25">
      <c r="A158" s="11" t="s">
        <v>208</v>
      </c>
      <c r="B158" s="17" t="s">
        <v>18</v>
      </c>
      <c r="C158" s="13" t="s">
        <v>14</v>
      </c>
      <c r="D158" s="18">
        <v>2</v>
      </c>
      <c r="E158" s="11" t="s">
        <v>262</v>
      </c>
    </row>
    <row r="159" spans="1:5" ht="15.75" customHeight="1" x14ac:dyDescent="0.25">
      <c r="A159" s="11" t="s">
        <v>209</v>
      </c>
      <c r="B159" s="19" t="s">
        <v>20</v>
      </c>
      <c r="C159" s="13" t="s">
        <v>14</v>
      </c>
      <c r="D159" s="20">
        <v>2</v>
      </c>
      <c r="E159" s="11" t="s">
        <v>263</v>
      </c>
    </row>
    <row r="160" spans="1:5" ht="15.75" customHeight="1" x14ac:dyDescent="0.25">
      <c r="A160" s="8" t="s">
        <v>210</v>
      </c>
      <c r="B160" s="9" t="s">
        <v>211</v>
      </c>
      <c r="C160" s="10" t="s">
        <v>11</v>
      </c>
      <c r="D160" s="10">
        <f>SUM(D161:D164)</f>
        <v>9</v>
      </c>
      <c r="E160" s="8"/>
    </row>
    <row r="161" spans="1:5" ht="15.75" customHeight="1" x14ac:dyDescent="0.25">
      <c r="A161" s="11" t="s">
        <v>212</v>
      </c>
      <c r="B161" s="12" t="s">
        <v>13</v>
      </c>
      <c r="C161" s="13" t="s">
        <v>14</v>
      </c>
      <c r="D161" s="14">
        <v>2</v>
      </c>
      <c r="E161" s="11" t="s">
        <v>260</v>
      </c>
    </row>
    <row r="162" spans="1:5" ht="15.75" customHeight="1" x14ac:dyDescent="0.25">
      <c r="A162" s="11" t="s">
        <v>213</v>
      </c>
      <c r="B162" s="15" t="s">
        <v>16</v>
      </c>
      <c r="C162" s="13" t="s">
        <v>14</v>
      </c>
      <c r="D162" s="16">
        <v>3</v>
      </c>
      <c r="E162" s="11" t="s">
        <v>261</v>
      </c>
    </row>
    <row r="163" spans="1:5" ht="15.75" customHeight="1" x14ac:dyDescent="0.25">
      <c r="A163" s="11" t="s">
        <v>214</v>
      </c>
      <c r="B163" s="17" t="s">
        <v>18</v>
      </c>
      <c r="C163" s="13" t="s">
        <v>14</v>
      </c>
      <c r="D163" s="18">
        <v>2</v>
      </c>
      <c r="E163" s="11" t="s">
        <v>262</v>
      </c>
    </row>
    <row r="164" spans="1:5" ht="15.75" customHeight="1" x14ac:dyDescent="0.25">
      <c r="A164" s="11" t="s">
        <v>215</v>
      </c>
      <c r="B164" s="19" t="s">
        <v>20</v>
      </c>
      <c r="C164" s="13" t="s">
        <v>14</v>
      </c>
      <c r="D164" s="20">
        <v>2</v>
      </c>
      <c r="E164" s="11" t="s">
        <v>263</v>
      </c>
    </row>
    <row r="165" spans="1:5" ht="25.5" customHeight="1" x14ac:dyDescent="0.25">
      <c r="A165" s="5" t="s">
        <v>216</v>
      </c>
      <c r="B165" s="6" t="s">
        <v>217</v>
      </c>
      <c r="C165" s="7" t="s">
        <v>9</v>
      </c>
      <c r="D165" s="7">
        <v>60</v>
      </c>
      <c r="E165" s="5"/>
    </row>
    <row r="166" spans="1:5" ht="15.75" customHeight="1" x14ac:dyDescent="0.25">
      <c r="A166" s="8" t="s">
        <v>218</v>
      </c>
      <c r="B166" s="9" t="s">
        <v>219</v>
      </c>
      <c r="C166" s="10" t="s">
        <v>11</v>
      </c>
      <c r="D166" s="10">
        <f>SUM(D167:D169)</f>
        <v>20</v>
      </c>
      <c r="E166" s="8"/>
    </row>
    <row r="167" spans="1:5" ht="15.75" customHeight="1" x14ac:dyDescent="0.25">
      <c r="A167" s="11" t="s">
        <v>220</v>
      </c>
      <c r="B167" s="15" t="s">
        <v>16</v>
      </c>
      <c r="C167" s="13" t="s">
        <v>14</v>
      </c>
      <c r="D167" s="16">
        <v>8</v>
      </c>
      <c r="E167" s="11" t="s">
        <v>260</v>
      </c>
    </row>
    <row r="168" spans="1:5" ht="15.75" customHeight="1" x14ac:dyDescent="0.25">
      <c r="A168" s="11" t="s">
        <v>221</v>
      </c>
      <c r="B168" s="17" t="s">
        <v>18</v>
      </c>
      <c r="C168" s="13" t="s">
        <v>14</v>
      </c>
      <c r="D168" s="18">
        <v>7</v>
      </c>
      <c r="E168" s="11" t="s">
        <v>262</v>
      </c>
    </row>
    <row r="169" spans="1:5" ht="15.75" customHeight="1" x14ac:dyDescent="0.25">
      <c r="A169" s="11" t="s">
        <v>222</v>
      </c>
      <c r="B169" s="19" t="s">
        <v>20</v>
      </c>
      <c r="C169" s="13" t="s">
        <v>14</v>
      </c>
      <c r="D169" s="20">
        <v>5</v>
      </c>
      <c r="E169" s="11" t="s">
        <v>263</v>
      </c>
    </row>
    <row r="170" spans="1:5" ht="15.75" customHeight="1" x14ac:dyDescent="0.25">
      <c r="A170" s="8" t="s">
        <v>223</v>
      </c>
      <c r="B170" s="9" t="s">
        <v>224</v>
      </c>
      <c r="C170" s="10" t="s">
        <v>11</v>
      </c>
      <c r="D170" s="10">
        <f>SUM(D171:D173)</f>
        <v>20</v>
      </c>
      <c r="E170" s="8"/>
    </row>
    <row r="171" spans="1:5" ht="15.75" customHeight="1" x14ac:dyDescent="0.25">
      <c r="A171" s="11" t="s">
        <v>225</v>
      </c>
      <c r="B171" s="15" t="s">
        <v>16</v>
      </c>
      <c r="C171" s="13" t="s">
        <v>14</v>
      </c>
      <c r="D171" s="16">
        <v>8</v>
      </c>
      <c r="E171" s="11" t="s">
        <v>260</v>
      </c>
    </row>
    <row r="172" spans="1:5" ht="15.75" customHeight="1" x14ac:dyDescent="0.25">
      <c r="A172" s="11" t="s">
        <v>226</v>
      </c>
      <c r="B172" s="17" t="s">
        <v>18</v>
      </c>
      <c r="C172" s="13" t="s">
        <v>14</v>
      </c>
      <c r="D172" s="18">
        <v>6</v>
      </c>
      <c r="E172" s="11" t="s">
        <v>262</v>
      </c>
    </row>
    <row r="173" spans="1:5" ht="15.75" customHeight="1" x14ac:dyDescent="0.25">
      <c r="A173" s="11" t="s">
        <v>227</v>
      </c>
      <c r="B173" s="19" t="s">
        <v>20</v>
      </c>
      <c r="C173" s="13" t="s">
        <v>14</v>
      </c>
      <c r="D173" s="20">
        <v>6</v>
      </c>
      <c r="E173" s="11" t="s">
        <v>263</v>
      </c>
    </row>
    <row r="174" spans="1:5" ht="15.75" customHeight="1" x14ac:dyDescent="0.25">
      <c r="A174" s="8" t="s">
        <v>228</v>
      </c>
      <c r="B174" s="9" t="s">
        <v>229</v>
      </c>
      <c r="C174" s="10" t="s">
        <v>11</v>
      </c>
      <c r="D174" s="10">
        <f>SUM(D175:D177)</f>
        <v>20</v>
      </c>
      <c r="E174" s="8"/>
    </row>
    <row r="175" spans="1:5" ht="15.75" customHeight="1" x14ac:dyDescent="0.25">
      <c r="A175" s="11" t="s">
        <v>230</v>
      </c>
      <c r="B175" s="15" t="s">
        <v>16</v>
      </c>
      <c r="C175" s="13" t="s">
        <v>14</v>
      </c>
      <c r="D175" s="16">
        <v>8</v>
      </c>
      <c r="E175" s="11" t="s">
        <v>260</v>
      </c>
    </row>
    <row r="176" spans="1:5" ht="15.75" customHeight="1" x14ac:dyDescent="0.25">
      <c r="A176" s="11" t="s">
        <v>231</v>
      </c>
      <c r="B176" s="17" t="s">
        <v>18</v>
      </c>
      <c r="C176" s="13" t="s">
        <v>14</v>
      </c>
      <c r="D176" s="18">
        <v>6</v>
      </c>
      <c r="E176" s="11" t="s">
        <v>262</v>
      </c>
    </row>
    <row r="177" spans="1:5" ht="15.75" customHeight="1" x14ac:dyDescent="0.25">
      <c r="A177" s="11" t="s">
        <v>232</v>
      </c>
      <c r="B177" s="19" t="s">
        <v>20</v>
      </c>
      <c r="C177" s="13" t="s">
        <v>14</v>
      </c>
      <c r="D177" s="20">
        <v>6</v>
      </c>
      <c r="E177" s="11" t="s">
        <v>263</v>
      </c>
    </row>
    <row r="178" spans="1:5" ht="25.5" customHeight="1" x14ac:dyDescent="0.25">
      <c r="A178" s="5" t="s">
        <v>233</v>
      </c>
      <c r="B178" s="6" t="s">
        <v>256</v>
      </c>
      <c r="C178" s="7" t="s">
        <v>9</v>
      </c>
      <c r="D178" s="7">
        <v>34</v>
      </c>
      <c r="E178" s="5"/>
    </row>
    <row r="179" spans="1:5" ht="15.75" customHeight="1" x14ac:dyDescent="0.25">
      <c r="A179" s="8" t="s">
        <v>234</v>
      </c>
      <c r="B179" s="9" t="s">
        <v>235</v>
      </c>
      <c r="C179" s="10" t="s">
        <v>11</v>
      </c>
      <c r="D179" s="10">
        <f>SUM(D180:D183)</f>
        <v>10</v>
      </c>
      <c r="E179" s="8"/>
    </row>
    <row r="180" spans="1:5" ht="15.75" customHeight="1" x14ac:dyDescent="0.25">
      <c r="A180" s="11" t="s">
        <v>236</v>
      </c>
      <c r="B180" s="12" t="s">
        <v>13</v>
      </c>
      <c r="C180" s="13" t="s">
        <v>14</v>
      </c>
      <c r="D180" s="14">
        <v>1</v>
      </c>
      <c r="E180" s="11" t="s">
        <v>260</v>
      </c>
    </row>
    <row r="181" spans="1:5" ht="15.75" customHeight="1" x14ac:dyDescent="0.25">
      <c r="A181" s="11" t="s">
        <v>237</v>
      </c>
      <c r="B181" s="15" t="s">
        <v>16</v>
      </c>
      <c r="C181" s="13" t="s">
        <v>14</v>
      </c>
      <c r="D181" s="16">
        <v>4</v>
      </c>
      <c r="E181" s="11" t="s">
        <v>261</v>
      </c>
    </row>
    <row r="182" spans="1:5" ht="15.75" customHeight="1" x14ac:dyDescent="0.25">
      <c r="A182" s="11" t="s">
        <v>238</v>
      </c>
      <c r="B182" s="17" t="s">
        <v>18</v>
      </c>
      <c r="C182" s="13" t="s">
        <v>14</v>
      </c>
      <c r="D182" s="18">
        <v>2</v>
      </c>
      <c r="E182" s="11" t="s">
        <v>262</v>
      </c>
    </row>
    <row r="183" spans="1:5" ht="15.75" customHeight="1" x14ac:dyDescent="0.25">
      <c r="A183" s="11" t="s">
        <v>239</v>
      </c>
      <c r="B183" s="19" t="s">
        <v>20</v>
      </c>
      <c r="C183" s="13" t="s">
        <v>14</v>
      </c>
      <c r="D183" s="20">
        <v>3</v>
      </c>
      <c r="E183" s="11" t="s">
        <v>263</v>
      </c>
    </row>
    <row r="184" spans="1:5" ht="15.75" customHeight="1" x14ac:dyDescent="0.25">
      <c r="A184" s="8" t="s">
        <v>240</v>
      </c>
      <c r="B184" s="9" t="s">
        <v>241</v>
      </c>
      <c r="C184" s="10" t="s">
        <v>11</v>
      </c>
      <c r="D184" s="10">
        <f>SUM(D185:D188)</f>
        <v>24</v>
      </c>
      <c r="E184" s="8"/>
    </row>
    <row r="185" spans="1:5" ht="15.75" customHeight="1" x14ac:dyDescent="0.25">
      <c r="A185" s="11" t="s">
        <v>242</v>
      </c>
      <c r="B185" s="12" t="s">
        <v>13</v>
      </c>
      <c r="C185" s="13" t="s">
        <v>14</v>
      </c>
      <c r="D185" s="14">
        <v>4</v>
      </c>
      <c r="E185" s="11" t="s">
        <v>260</v>
      </c>
    </row>
    <row r="186" spans="1:5" ht="15.75" customHeight="1" x14ac:dyDescent="0.25">
      <c r="A186" s="11" t="s">
        <v>243</v>
      </c>
      <c r="B186" s="15" t="s">
        <v>16</v>
      </c>
      <c r="C186" s="13" t="s">
        <v>14</v>
      </c>
      <c r="D186" s="16">
        <v>8</v>
      </c>
      <c r="E186" s="11" t="s">
        <v>261</v>
      </c>
    </row>
    <row r="187" spans="1:5" ht="15.75" customHeight="1" x14ac:dyDescent="0.25">
      <c r="A187" s="11" t="s">
        <v>244</v>
      </c>
      <c r="B187" s="17" t="s">
        <v>18</v>
      </c>
      <c r="C187" s="13" t="s">
        <v>14</v>
      </c>
      <c r="D187" s="18">
        <v>7</v>
      </c>
      <c r="E187" s="11" t="s">
        <v>261</v>
      </c>
    </row>
    <row r="188" spans="1:5" ht="15.75" customHeight="1" x14ac:dyDescent="0.25">
      <c r="A188" s="11" t="s">
        <v>245</v>
      </c>
      <c r="B188" s="19" t="s">
        <v>20</v>
      </c>
      <c r="C188" s="13" t="s">
        <v>14</v>
      </c>
      <c r="D188" s="20">
        <v>5</v>
      </c>
      <c r="E188" s="11" t="s">
        <v>263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zoomScaleNormal="100" workbookViewId="0">
      <pane ySplit="2" topLeftCell="A3" activePane="bottomLeft" state="frozen"/>
      <selection pane="bottomLeft" activeCell="I6" sqref="I6"/>
    </sheetView>
  </sheetViews>
  <sheetFormatPr defaultColWidth="8.7109375" defaultRowHeight="15" x14ac:dyDescent="0.25"/>
  <cols>
    <col min="1" max="1" width="10" customWidth="1"/>
    <col min="2" max="2" width="44" customWidth="1"/>
    <col min="3" max="3" width="21.140625" customWidth="1"/>
    <col min="7" max="7" width="22.28515625" customWidth="1"/>
    <col min="8" max="8" width="22.42578125" bestFit="1" customWidth="1"/>
  </cols>
  <sheetData>
    <row r="1" spans="1:9" ht="25.5" customHeight="1" x14ac:dyDescent="0.25">
      <c r="A1" s="35" t="s">
        <v>246</v>
      </c>
      <c r="B1" s="35"/>
      <c r="C1" s="35"/>
      <c r="D1" s="21"/>
    </row>
    <row r="2" spans="1:9" ht="21.75" customHeight="1" x14ac:dyDescent="0.25">
      <c r="A2" s="21" t="s">
        <v>0</v>
      </c>
      <c r="B2" s="21" t="s">
        <v>9</v>
      </c>
      <c r="C2" s="21" t="s">
        <v>3</v>
      </c>
      <c r="D2" s="21" t="s">
        <v>265</v>
      </c>
    </row>
    <row r="3" spans="1:9" x14ac:dyDescent="0.25">
      <c r="A3" s="22" t="s">
        <v>7</v>
      </c>
      <c r="B3" s="23" t="s">
        <v>247</v>
      </c>
      <c r="C3" s="22">
        <v>84</v>
      </c>
      <c r="D3" s="28">
        <f>+C3/6</f>
        <v>14</v>
      </c>
      <c r="G3" s="31" t="s">
        <v>267</v>
      </c>
      <c r="H3" s="31" t="s">
        <v>268</v>
      </c>
      <c r="I3" s="31" t="s">
        <v>265</v>
      </c>
    </row>
    <row r="4" spans="1:9" x14ac:dyDescent="0.25">
      <c r="A4" s="22" t="s">
        <v>45</v>
      </c>
      <c r="B4" s="23" t="s">
        <v>248</v>
      </c>
      <c r="C4" s="22">
        <v>50</v>
      </c>
      <c r="D4" s="28">
        <f t="shared" ref="D4:D11" si="0">+C4/6</f>
        <v>8.3333333333333339</v>
      </c>
      <c r="G4" s="30" t="s">
        <v>263</v>
      </c>
      <c r="H4">
        <v>159</v>
      </c>
      <c r="I4">
        <f>+H4/6</f>
        <v>26.5</v>
      </c>
    </row>
    <row r="5" spans="1:9" x14ac:dyDescent="0.25">
      <c r="A5" s="22" t="s">
        <v>72</v>
      </c>
      <c r="B5" s="23" t="s">
        <v>249</v>
      </c>
      <c r="C5" s="22">
        <v>76</v>
      </c>
      <c r="D5" s="28">
        <f t="shared" si="0"/>
        <v>12.666666666666666</v>
      </c>
      <c r="G5" s="30" t="s">
        <v>260</v>
      </c>
      <c r="H5">
        <v>110</v>
      </c>
      <c r="I5" s="34">
        <f t="shared" ref="I5:I7" si="1">+H5/6</f>
        <v>18.333333333333332</v>
      </c>
    </row>
    <row r="6" spans="1:9" x14ac:dyDescent="0.25">
      <c r="A6" s="22" t="s">
        <v>100</v>
      </c>
      <c r="B6" s="23" t="s">
        <v>250</v>
      </c>
      <c r="C6" s="22">
        <v>63</v>
      </c>
      <c r="D6" s="28">
        <f t="shared" si="0"/>
        <v>10.5</v>
      </c>
      <c r="G6" s="30" t="s">
        <v>261</v>
      </c>
      <c r="H6">
        <v>151</v>
      </c>
      <c r="I6" s="34">
        <f t="shared" si="1"/>
        <v>25.166666666666668</v>
      </c>
    </row>
    <row r="7" spans="1:9" x14ac:dyDescent="0.25">
      <c r="A7" s="22" t="s">
        <v>127</v>
      </c>
      <c r="B7" s="23" t="s">
        <v>251</v>
      </c>
      <c r="C7" s="22">
        <v>129</v>
      </c>
      <c r="D7" s="28">
        <f t="shared" si="0"/>
        <v>21.5</v>
      </c>
      <c r="G7" s="30" t="s">
        <v>262</v>
      </c>
      <c r="H7">
        <v>138</v>
      </c>
      <c r="I7">
        <f t="shared" si="1"/>
        <v>23</v>
      </c>
    </row>
    <row r="8" spans="1:9" x14ac:dyDescent="0.25">
      <c r="A8" s="22" t="s">
        <v>184</v>
      </c>
      <c r="B8" s="23" t="s">
        <v>252</v>
      </c>
      <c r="C8" s="22">
        <v>62</v>
      </c>
      <c r="D8" s="28">
        <f t="shared" si="0"/>
        <v>10.333333333333334</v>
      </c>
      <c r="G8" s="32" t="s">
        <v>264</v>
      </c>
      <c r="H8" s="33">
        <v>558</v>
      </c>
      <c r="I8" s="36">
        <f>MAX(I4:I7)</f>
        <v>26.5</v>
      </c>
    </row>
    <row r="9" spans="1:9" x14ac:dyDescent="0.25">
      <c r="A9" s="22" t="s">
        <v>216</v>
      </c>
      <c r="B9" s="23" t="s">
        <v>253</v>
      </c>
      <c r="C9" s="22">
        <v>60</v>
      </c>
      <c r="D9" s="28">
        <f t="shared" si="0"/>
        <v>10</v>
      </c>
    </row>
    <row r="10" spans="1:9" x14ac:dyDescent="0.25">
      <c r="A10" s="22" t="s">
        <v>233</v>
      </c>
      <c r="B10" s="23" t="s">
        <v>254</v>
      </c>
      <c r="C10" s="22">
        <v>34</v>
      </c>
      <c r="D10" s="28">
        <f t="shared" si="0"/>
        <v>5.666666666666667</v>
      </c>
    </row>
    <row r="11" spans="1:9" x14ac:dyDescent="0.25">
      <c r="A11" s="24"/>
      <c r="B11" s="25" t="s">
        <v>255</v>
      </c>
      <c r="C11" s="24">
        <f>SUM(C3:C10)</f>
        <v>558</v>
      </c>
      <c r="D11" s="26">
        <f t="shared" si="0"/>
        <v>93</v>
      </c>
    </row>
    <row r="12" spans="1:9" x14ac:dyDescent="0.25">
      <c r="D12" s="27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WBS</vt:lpstr>
      <vt:lpstr>Epic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Jani</cp:lastModifiedBy>
  <cp:revision>0</cp:revision>
  <dcterms:created xsi:type="dcterms:W3CDTF">2026-06-30T07:20:10Z</dcterms:created>
  <dcterms:modified xsi:type="dcterms:W3CDTF">2026-07-06T05:05:14Z</dcterms:modified>
  <dc:language>en-US</dc:language>
</cp:coreProperties>
</file>
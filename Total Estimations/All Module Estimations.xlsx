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192.168.1.254\smart solution\Documents\HiMapp\Total Estimations\"/>
    </mc:Choice>
  </mc:AlternateContent>
  <xr:revisionPtr revIDLastSave="0" documentId="13_ncr:1_{AD96E3FC-74F3-4E8C-A716-54BB75369E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ettings" sheetId="1" r:id="rId1"/>
    <sheet name="Holidays" sheetId="2" r:id="rId2"/>
    <sheet name="All Modules WBS" sheetId="3" r:id="rId3"/>
    <sheet name="Summary" sheetId="4" r:id="rId4"/>
  </sheets>
  <definedNames>
    <definedName name="_xlnm._FilterDatabase" localSheetId="2" hidden="1">'All Modules WBS'!$A$1:$J$1237</definedName>
    <definedName name="BufferDays">Settings!$B$5</definedName>
    <definedName name="Holidays">Holidays!$A$2:$A$60</definedName>
    <definedName name="HoursPerDay">Settings!$B$4</definedName>
    <definedName name="StartDate">Settings!$B$3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4" l="1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B7" i="4"/>
  <c r="B6" i="4"/>
  <c r="B5" i="4"/>
  <c r="B4" i="4"/>
  <c r="B3" i="4"/>
  <c r="E1234" i="3"/>
  <c r="E1230" i="3"/>
  <c r="E1225" i="3"/>
  <c r="E1220" i="3"/>
  <c r="E1219" i="3"/>
  <c r="E1216" i="3"/>
  <c r="E1213" i="3"/>
  <c r="E1210" i="3"/>
  <c r="E1206" i="3"/>
  <c r="E1201" i="3"/>
  <c r="E1200" i="3"/>
  <c r="E1196" i="3"/>
  <c r="E1193" i="3"/>
  <c r="E1190" i="3"/>
  <c r="E1187" i="3"/>
  <c r="E1183" i="3"/>
  <c r="E1179" i="3"/>
  <c r="E1175" i="3"/>
  <c r="E1171" i="3"/>
  <c r="E1167" i="3"/>
  <c r="E1162" i="3"/>
  <c r="E1157" i="3"/>
  <c r="E1152" i="3"/>
  <c r="E1151" i="3"/>
  <c r="E1146" i="3"/>
  <c r="E1142" i="3"/>
  <c r="E1138" i="3"/>
  <c r="E1134" i="3"/>
  <c r="E1131" i="3"/>
  <c r="E1126" i="3"/>
  <c r="H1123" i="3"/>
  <c r="G1128" i="3" s="1"/>
  <c r="G1123" i="3"/>
  <c r="E1121" i="3"/>
  <c r="E1117" i="3"/>
  <c r="E1112" i="3"/>
  <c r="E1111" i="3"/>
  <c r="E1108" i="3"/>
  <c r="E1104" i="3"/>
  <c r="E1101" i="3"/>
  <c r="E1097" i="3"/>
  <c r="E1093" i="3"/>
  <c r="E1089" i="3"/>
  <c r="E1084" i="3"/>
  <c r="E1079" i="3"/>
  <c r="E1075" i="3"/>
  <c r="E1070" i="3"/>
  <c r="E1069" i="3"/>
  <c r="E1065" i="3"/>
  <c r="E1061" i="3"/>
  <c r="E1057" i="3"/>
  <c r="E1052" i="3"/>
  <c r="E1048" i="3"/>
  <c r="E1043" i="3"/>
  <c r="E1039" i="3"/>
  <c r="E1034" i="3"/>
  <c r="G1033" i="3"/>
  <c r="H1033" i="3" s="1"/>
  <c r="E1029" i="3"/>
  <c r="E1028" i="3"/>
  <c r="E1024" i="3"/>
  <c r="E1020" i="3"/>
  <c r="E1016" i="3"/>
  <c r="G1015" i="3"/>
  <c r="H1015" i="3" s="1"/>
  <c r="G1019" i="3" s="1"/>
  <c r="H1019" i="3" s="1"/>
  <c r="G1014" i="3"/>
  <c r="H1014" i="3" s="1"/>
  <c r="G1013" i="3"/>
  <c r="H1013" i="3" s="1"/>
  <c r="E1012" i="3"/>
  <c r="E1011" i="3"/>
  <c r="E1010" i="3"/>
  <c r="E1006" i="3"/>
  <c r="E1002" i="3"/>
  <c r="E998" i="3"/>
  <c r="E994" i="3"/>
  <c r="E990" i="3"/>
  <c r="E986" i="3"/>
  <c r="E982" i="3"/>
  <c r="E978" i="3"/>
  <c r="E974" i="3"/>
  <c r="E970" i="3"/>
  <c r="E966" i="3"/>
  <c r="E962" i="3"/>
  <c r="E958" i="3"/>
  <c r="E954" i="3"/>
  <c r="E950" i="3"/>
  <c r="E946" i="3"/>
  <c r="E945" i="3"/>
  <c r="E940" i="3"/>
  <c r="E936" i="3"/>
  <c r="E931" i="3"/>
  <c r="E927" i="3"/>
  <c r="E923" i="3"/>
  <c r="E919" i="3"/>
  <c r="E915" i="3"/>
  <c r="E911" i="3"/>
  <c r="E907" i="3"/>
  <c r="E903" i="3"/>
  <c r="E902" i="3"/>
  <c r="E897" i="3"/>
  <c r="E893" i="3"/>
  <c r="E888" i="3"/>
  <c r="E883" i="3"/>
  <c r="E878" i="3"/>
  <c r="E873" i="3"/>
  <c r="E872" i="3"/>
  <c r="E868" i="3"/>
  <c r="E864" i="3"/>
  <c r="E859" i="3"/>
  <c r="E854" i="3"/>
  <c r="E849" i="3"/>
  <c r="E844" i="3"/>
  <c r="E839" i="3"/>
  <c r="E834" i="3"/>
  <c r="E833" i="3"/>
  <c r="E828" i="3"/>
  <c r="E824" i="3"/>
  <c r="E819" i="3"/>
  <c r="E815" i="3"/>
  <c r="E810" i="3"/>
  <c r="E805" i="3"/>
  <c r="E800" i="3"/>
  <c r="E795" i="3"/>
  <c r="E790" i="3"/>
  <c r="E785" i="3"/>
  <c r="E780" i="3"/>
  <c r="E775" i="3"/>
  <c r="E770" i="3"/>
  <c r="E765" i="3"/>
  <c r="E760" i="3"/>
  <c r="E755" i="3"/>
  <c r="E754" i="3"/>
  <c r="E750" i="3"/>
  <c r="E746" i="3"/>
  <c r="E741" i="3"/>
  <c r="E737" i="3"/>
  <c r="E732" i="3"/>
  <c r="E727" i="3"/>
  <c r="E722" i="3"/>
  <c r="E717" i="3"/>
  <c r="E712" i="3"/>
  <c r="E707" i="3"/>
  <c r="E706" i="3"/>
  <c r="E702" i="3"/>
  <c r="E697" i="3"/>
  <c r="E692" i="3"/>
  <c r="E687" i="3"/>
  <c r="E682" i="3"/>
  <c r="E681" i="3"/>
  <c r="G680" i="3"/>
  <c r="E677" i="3"/>
  <c r="E673" i="3"/>
  <c r="E669" i="3"/>
  <c r="E665" i="3"/>
  <c r="G663" i="3"/>
  <c r="H663" i="3" s="1"/>
  <c r="E662" i="3"/>
  <c r="E658" i="3"/>
  <c r="E654" i="3"/>
  <c r="E650" i="3"/>
  <c r="E646" i="3"/>
  <c r="H645" i="3"/>
  <c r="G645" i="3"/>
  <c r="E642" i="3"/>
  <c r="E638" i="3"/>
  <c r="E635" i="3"/>
  <c r="E632" i="3"/>
  <c r="E629" i="3"/>
  <c r="E626" i="3"/>
  <c r="H625" i="3"/>
  <c r="G628" i="3" s="1"/>
  <c r="G625" i="3"/>
  <c r="G623" i="3"/>
  <c r="H623" i="3" s="1"/>
  <c r="G624" i="3" s="1"/>
  <c r="E622" i="3"/>
  <c r="E621" i="3"/>
  <c r="E620" i="3"/>
  <c r="E615" i="3"/>
  <c r="E610" i="3"/>
  <c r="E609" i="3"/>
  <c r="E605" i="3"/>
  <c r="E601" i="3"/>
  <c r="E597" i="3"/>
  <c r="E596" i="3"/>
  <c r="E591" i="3"/>
  <c r="E586" i="3"/>
  <c r="E581" i="3"/>
  <c r="E576" i="3"/>
  <c r="E571" i="3"/>
  <c r="E570" i="3"/>
  <c r="E566" i="3"/>
  <c r="E562" i="3"/>
  <c r="E558" i="3"/>
  <c r="E554" i="3"/>
  <c r="E550" i="3"/>
  <c r="E546" i="3"/>
  <c r="E542" i="3"/>
  <c r="E538" i="3"/>
  <c r="E534" i="3"/>
  <c r="E530" i="3"/>
  <c r="E526" i="3"/>
  <c r="E525" i="3"/>
  <c r="E522" i="3"/>
  <c r="E518" i="3"/>
  <c r="E514" i="3"/>
  <c r="E510" i="3"/>
  <c r="E505" i="3"/>
  <c r="E504" i="3"/>
  <c r="E500" i="3"/>
  <c r="E496" i="3"/>
  <c r="E492" i="3"/>
  <c r="E488" i="3"/>
  <c r="E483" i="3"/>
  <c r="E482" i="3"/>
  <c r="E478" i="3"/>
  <c r="E474" i="3"/>
  <c r="E470" i="3"/>
  <c r="G468" i="3"/>
  <c r="E466" i="3"/>
  <c r="G464" i="3"/>
  <c r="H464" i="3" s="1"/>
  <c r="E461" i="3"/>
  <c r="E460" i="3"/>
  <c r="E456" i="3"/>
  <c r="E452" i="3"/>
  <c r="E448" i="3"/>
  <c r="E444" i="3"/>
  <c r="E440" i="3"/>
  <c r="G439" i="3"/>
  <c r="G438" i="3"/>
  <c r="G436" i="3"/>
  <c r="E435" i="3"/>
  <c r="E434" i="3"/>
  <c r="E433" i="3"/>
  <c r="E430" i="3"/>
  <c r="E427" i="3"/>
  <c r="E423" i="3"/>
  <c r="E418" i="3"/>
  <c r="E417" i="3"/>
  <c r="E415" i="3"/>
  <c r="E414" i="3"/>
  <c r="E410" i="3"/>
  <c r="E406" i="3"/>
  <c r="E402" i="3"/>
  <c r="E397" i="3"/>
  <c r="E396" i="3"/>
  <c r="E392" i="3"/>
  <c r="E388" i="3"/>
  <c r="E384" i="3"/>
  <c r="E380" i="3"/>
  <c r="E375" i="3"/>
  <c r="E374" i="3"/>
  <c r="E371" i="3"/>
  <c r="E368" i="3"/>
  <c r="E365" i="3"/>
  <c r="E362" i="3"/>
  <c r="E359" i="3"/>
  <c r="E355" i="3"/>
  <c r="E354" i="3"/>
  <c r="E350" i="3"/>
  <c r="E346" i="3"/>
  <c r="E342" i="3"/>
  <c r="E337" i="3"/>
  <c r="E336" i="3"/>
  <c r="E332" i="3"/>
  <c r="E328" i="3"/>
  <c r="E324" i="3"/>
  <c r="E320" i="3"/>
  <c r="E315" i="3"/>
  <c r="E314" i="3"/>
  <c r="E310" i="3"/>
  <c r="E306" i="3"/>
  <c r="E302" i="3"/>
  <c r="E297" i="3"/>
  <c r="E296" i="3"/>
  <c r="E292" i="3"/>
  <c r="E288" i="3"/>
  <c r="E284" i="3"/>
  <c r="E280" i="3"/>
  <c r="E279" i="3"/>
  <c r="E275" i="3"/>
  <c r="E271" i="3"/>
  <c r="E267" i="3"/>
  <c r="E263" i="3"/>
  <c r="E259" i="3"/>
  <c r="E255" i="3"/>
  <c r="E251" i="3"/>
  <c r="G249" i="3"/>
  <c r="H249" i="3" s="1"/>
  <c r="G253" i="3" s="1"/>
  <c r="G248" i="3"/>
  <c r="H248" i="3" s="1"/>
  <c r="G252" i="3" s="1"/>
  <c r="E246" i="3"/>
  <c r="E245" i="3"/>
  <c r="E240" i="3"/>
  <c r="E235" i="3"/>
  <c r="E230" i="3"/>
  <c r="G229" i="3"/>
  <c r="G226" i="3"/>
  <c r="E225" i="3"/>
  <c r="E224" i="3"/>
  <c r="E223" i="3"/>
  <c r="E218" i="3"/>
  <c r="E213" i="3"/>
  <c r="E208" i="3"/>
  <c r="E203" i="3"/>
  <c r="E202" i="3"/>
  <c r="E198" i="3"/>
  <c r="E194" i="3"/>
  <c r="E190" i="3"/>
  <c r="E186" i="3"/>
  <c r="E182" i="3"/>
  <c r="E178" i="3"/>
  <c r="E174" i="3"/>
  <c r="E173" i="3"/>
  <c r="E169" i="3"/>
  <c r="E165" i="3"/>
  <c r="E161" i="3"/>
  <c r="E160" i="3"/>
  <c r="E156" i="3"/>
  <c r="E152" i="3"/>
  <c r="E148" i="3"/>
  <c r="E144" i="3"/>
  <c r="E143" i="3"/>
  <c r="E139" i="3"/>
  <c r="E135" i="3"/>
  <c r="E131" i="3"/>
  <c r="E127" i="3"/>
  <c r="E126" i="3"/>
  <c r="E122" i="3"/>
  <c r="E118" i="3"/>
  <c r="E113" i="3"/>
  <c r="E109" i="3"/>
  <c r="E105" i="3"/>
  <c r="E101" i="3"/>
  <c r="E100" i="3"/>
  <c r="E96" i="3"/>
  <c r="E91" i="3"/>
  <c r="E87" i="3"/>
  <c r="E84" i="3"/>
  <c r="E80" i="3"/>
  <c r="E77" i="3"/>
  <c r="E72" i="3"/>
  <c r="E71" i="3"/>
  <c r="E66" i="3"/>
  <c r="E61" i="3"/>
  <c r="E57" i="3"/>
  <c r="E53" i="3"/>
  <c r="E49" i="3"/>
  <c r="E44" i="3"/>
  <c r="E39" i="3"/>
  <c r="E34" i="3"/>
  <c r="E30" i="3"/>
  <c r="E25" i="3"/>
  <c r="G21" i="3"/>
  <c r="H21" i="3" s="1"/>
  <c r="G22" i="3" s="1"/>
  <c r="E20" i="3"/>
  <c r="E19" i="3"/>
  <c r="E14" i="3"/>
  <c r="E9" i="3"/>
  <c r="G8" i="3"/>
  <c r="H8" i="3" s="1"/>
  <c r="G13" i="3" s="1"/>
  <c r="I13" i="3" s="1"/>
  <c r="H7" i="3"/>
  <c r="G12" i="3" s="1"/>
  <c r="I12" i="3" s="1"/>
  <c r="G7" i="3"/>
  <c r="G5" i="3"/>
  <c r="H5" i="3" s="1"/>
  <c r="G6" i="3" s="1"/>
  <c r="E4" i="3"/>
  <c r="E3" i="3"/>
  <c r="E2" i="3"/>
  <c r="D10" i="1"/>
  <c r="I8" i="3" s="1"/>
  <c r="H15" i="4" s="1"/>
  <c r="C10" i="1"/>
  <c r="D17" i="4" l="1"/>
  <c r="G14" i="4"/>
  <c r="C17" i="4"/>
  <c r="B8" i="4"/>
  <c r="F17" i="4"/>
  <c r="G16" i="4"/>
  <c r="G13" i="4"/>
  <c r="G15" i="4"/>
  <c r="H22" i="3"/>
  <c r="I22" i="3"/>
  <c r="H6" i="3"/>
  <c r="I6" i="3"/>
  <c r="J5" i="3"/>
  <c r="J8" i="3"/>
  <c r="J21" i="3"/>
  <c r="I5" i="3"/>
  <c r="I7" i="3"/>
  <c r="H14" i="4" s="1"/>
  <c r="I21" i="3"/>
  <c r="J7" i="3"/>
  <c r="H12" i="3"/>
  <c r="H13" i="3"/>
  <c r="H253" i="3"/>
  <c r="H252" i="3"/>
  <c r="H226" i="3"/>
  <c r="H229" i="3"/>
  <c r="H438" i="3"/>
  <c r="H624" i="3"/>
  <c r="H439" i="3"/>
  <c r="G678" i="3"/>
  <c r="H436" i="3"/>
  <c r="H468" i="3"/>
  <c r="H628" i="3"/>
  <c r="G653" i="3"/>
  <c r="H680" i="3"/>
  <c r="G1038" i="3"/>
  <c r="G1017" i="3"/>
  <c r="G1023" i="3"/>
  <c r="G1018" i="3"/>
  <c r="H1128" i="3"/>
  <c r="G12" i="4"/>
  <c r="G17" i="4" s="1"/>
  <c r="B17" i="4"/>
  <c r="E17" i="4"/>
  <c r="G1132" i="3" l="1"/>
  <c r="H653" i="3"/>
  <c r="H1018" i="3"/>
  <c r="H1017" i="3"/>
  <c r="G686" i="3"/>
  <c r="G437" i="3"/>
  <c r="G443" i="3"/>
  <c r="G256" i="3"/>
  <c r="G18" i="3"/>
  <c r="J13" i="3"/>
  <c r="H12" i="4"/>
  <c r="G472" i="3"/>
  <c r="G627" i="3"/>
  <c r="G234" i="3"/>
  <c r="G17" i="3"/>
  <c r="J12" i="3"/>
  <c r="G10" i="3"/>
  <c r="J6" i="3"/>
  <c r="J4" i="3" s="1"/>
  <c r="H1038" i="3"/>
  <c r="G1042" i="3" s="1"/>
  <c r="G227" i="3"/>
  <c r="H13" i="4"/>
  <c r="I4" i="3"/>
  <c r="H1023" i="3"/>
  <c r="G1027" i="3" s="1"/>
  <c r="G257" i="3"/>
  <c r="G631" i="3"/>
  <c r="H678" i="3"/>
  <c r="G442" i="3"/>
  <c r="G26" i="3"/>
  <c r="J22" i="3"/>
  <c r="H437" i="3" l="1"/>
  <c r="G1021" i="3"/>
  <c r="G668" i="3"/>
  <c r="I17" i="3"/>
  <c r="H17" i="3"/>
  <c r="H627" i="3"/>
  <c r="H256" i="3"/>
  <c r="H257" i="3"/>
  <c r="H1042" i="3"/>
  <c r="H1027" i="3"/>
  <c r="I10" i="3"/>
  <c r="H10" i="3"/>
  <c r="H686" i="3"/>
  <c r="G1022" i="3"/>
  <c r="H442" i="3"/>
  <c r="H631" i="3"/>
  <c r="H227" i="3"/>
  <c r="I26" i="3"/>
  <c r="H26" i="3"/>
  <c r="G703" i="3"/>
  <c r="H234" i="3"/>
  <c r="H472" i="3"/>
  <c r="I18" i="3"/>
  <c r="H18" i="3"/>
  <c r="H443" i="3"/>
  <c r="H1132" i="3"/>
  <c r="H1021" i="3" l="1"/>
  <c r="G1025" i="3" s="1"/>
  <c r="G1135" i="3"/>
  <c r="J18" i="3"/>
  <c r="G24" i="3"/>
  <c r="G691" i="3"/>
  <c r="G1032" i="3"/>
  <c r="G630" i="3"/>
  <c r="G441" i="3"/>
  <c r="H703" i="3"/>
  <c r="G228" i="3"/>
  <c r="G446" i="3"/>
  <c r="G261" i="3"/>
  <c r="G239" i="3"/>
  <c r="G27" i="3"/>
  <c r="J26" i="3"/>
  <c r="J10" i="3"/>
  <c r="G11" i="3"/>
  <c r="H668" i="3"/>
  <c r="G447" i="3"/>
  <c r="G476" i="3"/>
  <c r="G634" i="3"/>
  <c r="H1022" i="3"/>
  <c r="G1026" i="3" s="1"/>
  <c r="G1047" i="3"/>
  <c r="G260" i="3"/>
  <c r="J17" i="3"/>
  <c r="G23" i="3"/>
  <c r="H634" i="3" l="1"/>
  <c r="I11" i="3"/>
  <c r="I9" i="3" s="1"/>
  <c r="H11" i="3"/>
  <c r="H1135" i="3"/>
  <c r="H260" i="3"/>
  <c r="H1026" i="3"/>
  <c r="H447" i="3"/>
  <c r="H239" i="3"/>
  <c r="H446" i="3"/>
  <c r="G738" i="3"/>
  <c r="H630" i="3"/>
  <c r="H691" i="3"/>
  <c r="H24" i="3"/>
  <c r="I24" i="3"/>
  <c r="H1025" i="3"/>
  <c r="H23" i="3"/>
  <c r="I23" i="3"/>
  <c r="H1047" i="3"/>
  <c r="G1051" i="3" s="1"/>
  <c r="G676" i="3"/>
  <c r="H476" i="3"/>
  <c r="I27" i="3"/>
  <c r="H27" i="3"/>
  <c r="H261" i="3"/>
  <c r="H228" i="3"/>
  <c r="H441" i="3"/>
  <c r="H1032" i="3"/>
  <c r="I20" i="3" l="1"/>
  <c r="H1051" i="3"/>
  <c r="G633" i="3"/>
  <c r="G450" i="3"/>
  <c r="G1030" i="3"/>
  <c r="G244" i="3"/>
  <c r="G451" i="3"/>
  <c r="H738" i="3"/>
  <c r="G637" i="3"/>
  <c r="G445" i="3"/>
  <c r="G265" i="3"/>
  <c r="G264" i="3"/>
  <c r="G15" i="3"/>
  <c r="J11" i="3"/>
  <c r="J9" i="3" s="1"/>
  <c r="G480" i="3"/>
  <c r="G696" i="3"/>
  <c r="G1037" i="3"/>
  <c r="G231" i="3"/>
  <c r="G31" i="3"/>
  <c r="J27" i="3"/>
  <c r="H676" i="3"/>
  <c r="G28" i="3"/>
  <c r="J23" i="3"/>
  <c r="G29" i="3"/>
  <c r="J24" i="3"/>
  <c r="G1031" i="3"/>
  <c r="G1139" i="3"/>
  <c r="J20" i="3" l="1"/>
  <c r="H1031" i="3"/>
  <c r="I28" i="3"/>
  <c r="H28" i="3"/>
  <c r="H696" i="3"/>
  <c r="I15" i="3"/>
  <c r="H15" i="3"/>
  <c r="H265" i="3"/>
  <c r="H637" i="3"/>
  <c r="H1139" i="3"/>
  <c r="G685" i="3"/>
  <c r="I31" i="3"/>
  <c r="H31" i="3"/>
  <c r="H1037" i="3"/>
  <c r="G1041" i="3" s="1"/>
  <c r="H451" i="3"/>
  <c r="H1030" i="3"/>
  <c r="H633" i="3"/>
  <c r="I29" i="3"/>
  <c r="H29" i="3"/>
  <c r="H480" i="3"/>
  <c r="H264" i="3"/>
  <c r="H445" i="3"/>
  <c r="G747" i="3"/>
  <c r="G1056" i="3"/>
  <c r="H231" i="3"/>
  <c r="H244" i="3"/>
  <c r="H450" i="3"/>
  <c r="J28" i="3" l="1"/>
  <c r="G33" i="3"/>
  <c r="G454" i="3"/>
  <c r="G486" i="3"/>
  <c r="G636" i="3"/>
  <c r="G455" i="3"/>
  <c r="J31" i="3"/>
  <c r="G32" i="3"/>
  <c r="G1143" i="3"/>
  <c r="G701" i="3"/>
  <c r="I25" i="3"/>
  <c r="H685" i="3"/>
  <c r="G449" i="3"/>
  <c r="G269" i="3"/>
  <c r="G268" i="3"/>
  <c r="H1056" i="3"/>
  <c r="G250" i="3"/>
  <c r="G232" i="3"/>
  <c r="H747" i="3"/>
  <c r="G38" i="3"/>
  <c r="J29" i="3"/>
  <c r="G1035" i="3"/>
  <c r="H1041" i="3"/>
  <c r="G641" i="3"/>
  <c r="J15" i="3"/>
  <c r="G16" i="3"/>
  <c r="G1036" i="3"/>
  <c r="H636" i="3" l="1"/>
  <c r="H454" i="3"/>
  <c r="G767" i="3"/>
  <c r="H250" i="3"/>
  <c r="G700" i="3"/>
  <c r="I33" i="3"/>
  <c r="H33" i="3"/>
  <c r="G1046" i="3"/>
  <c r="H38" i="3"/>
  <c r="I38" i="3"/>
  <c r="G1060" i="3"/>
  <c r="H269" i="3"/>
  <c r="H268" i="3"/>
  <c r="H1143" i="3"/>
  <c r="H455" i="3"/>
  <c r="H486" i="3"/>
  <c r="J25" i="3"/>
  <c r="H232" i="3"/>
  <c r="H701" i="3"/>
  <c r="H1036" i="3"/>
  <c r="G1040" i="3" s="1"/>
  <c r="H641" i="3"/>
  <c r="H1035" i="3"/>
  <c r="G1044" i="3" s="1"/>
  <c r="I16" i="3"/>
  <c r="I14" i="3" s="1"/>
  <c r="I3" i="3" s="1"/>
  <c r="H16" i="3"/>
  <c r="H449" i="3"/>
  <c r="I32" i="3"/>
  <c r="H32" i="3"/>
  <c r="G73" i="3" l="1"/>
  <c r="J16" i="3"/>
  <c r="J14" i="3" s="1"/>
  <c r="J3" i="3" s="1"/>
  <c r="G705" i="3"/>
  <c r="G459" i="3"/>
  <c r="G639" i="3"/>
  <c r="G35" i="3"/>
  <c r="J32" i="3"/>
  <c r="G649" i="3"/>
  <c r="G43" i="3"/>
  <c r="J38" i="3"/>
  <c r="I30" i="3"/>
  <c r="G272" i="3"/>
  <c r="G453" i="3"/>
  <c r="H1044" i="3"/>
  <c r="G1053" i="3" s="1"/>
  <c r="H1040" i="3"/>
  <c r="G490" i="3"/>
  <c r="G1148" i="3"/>
  <c r="H1060" i="3"/>
  <c r="G1064" i="3" s="1"/>
  <c r="H1046" i="3"/>
  <c r="G1050" i="3" s="1"/>
  <c r="H700" i="3"/>
  <c r="H767" i="3"/>
  <c r="G254" i="3"/>
  <c r="G233" i="3"/>
  <c r="G273" i="3"/>
  <c r="G37" i="3"/>
  <c r="J33" i="3"/>
  <c r="G458" i="3"/>
  <c r="J30" i="3" l="1"/>
  <c r="G715" i="3"/>
  <c r="H1053" i="3"/>
  <c r="H43" i="3"/>
  <c r="I43" i="3"/>
  <c r="H35" i="3"/>
  <c r="I35" i="3"/>
  <c r="H705" i="3"/>
  <c r="H458" i="3"/>
  <c r="H273" i="3"/>
  <c r="H254" i="3"/>
  <c r="H1064" i="3"/>
  <c r="H490" i="3"/>
  <c r="H272" i="3"/>
  <c r="H649" i="3"/>
  <c r="H37" i="3"/>
  <c r="I37" i="3"/>
  <c r="H233" i="3"/>
  <c r="H1148" i="3"/>
  <c r="G1045" i="3"/>
  <c r="H453" i="3"/>
  <c r="G772" i="3"/>
  <c r="H1050" i="3"/>
  <c r="H639" i="3"/>
  <c r="H459" i="3"/>
  <c r="H73" i="3"/>
  <c r="I73" i="3"/>
  <c r="G1055" i="3" l="1"/>
  <c r="G457" i="3"/>
  <c r="G1154" i="3"/>
  <c r="G640" i="3"/>
  <c r="G42" i="3"/>
  <c r="J37" i="3"/>
  <c r="G276" i="3"/>
  <c r="G1068" i="3"/>
  <c r="G277" i="3"/>
  <c r="G74" i="3"/>
  <c r="J73" i="3"/>
  <c r="G711" i="3"/>
  <c r="G48" i="3"/>
  <c r="J43" i="3"/>
  <c r="H715" i="3"/>
  <c r="G36" i="3"/>
  <c r="J35" i="3"/>
  <c r="G465" i="3"/>
  <c r="H772" i="3"/>
  <c r="H1045" i="3"/>
  <c r="G1049" i="3" s="1"/>
  <c r="G236" i="3"/>
  <c r="G657" i="3"/>
  <c r="G494" i="3"/>
  <c r="G258" i="3"/>
  <c r="G462" i="3"/>
  <c r="G1071" i="3"/>
  <c r="H657" i="3" l="1"/>
  <c r="H277" i="3"/>
  <c r="H276" i="3"/>
  <c r="H640" i="3"/>
  <c r="H457" i="3"/>
  <c r="H462" i="3"/>
  <c r="H258" i="3"/>
  <c r="H494" i="3"/>
  <c r="H236" i="3"/>
  <c r="G777" i="3"/>
  <c r="H36" i="3"/>
  <c r="I36" i="3"/>
  <c r="I34" i="3" s="1"/>
  <c r="I48" i="3"/>
  <c r="H48" i="3"/>
  <c r="H74" i="3"/>
  <c r="I74" i="3"/>
  <c r="H1071" i="3"/>
  <c r="H1049" i="3"/>
  <c r="H465" i="3"/>
  <c r="G720" i="3"/>
  <c r="H711" i="3"/>
  <c r="H1068" i="3"/>
  <c r="H42" i="3"/>
  <c r="I42" i="3"/>
  <c r="H1154" i="3"/>
  <c r="G1159" i="3" s="1"/>
  <c r="H1055" i="3"/>
  <c r="G1074" i="3" l="1"/>
  <c r="G484" i="3"/>
  <c r="G281" i="3"/>
  <c r="G1059" i="3"/>
  <c r="G716" i="3"/>
  <c r="G469" i="3"/>
  <c r="G52" i="3"/>
  <c r="J48" i="3"/>
  <c r="G498" i="3"/>
  <c r="G661" i="3"/>
  <c r="G237" i="3"/>
  <c r="H1159" i="3"/>
  <c r="G1164" i="3" s="1"/>
  <c r="H720" i="3"/>
  <c r="G1054" i="3"/>
  <c r="G78" i="3"/>
  <c r="J74" i="3"/>
  <c r="G40" i="3"/>
  <c r="J36" i="3"/>
  <c r="J34" i="3" s="1"/>
  <c r="G262" i="3"/>
  <c r="G47" i="3"/>
  <c r="J42" i="3"/>
  <c r="G1080" i="3"/>
  <c r="H777" i="3"/>
  <c r="G463" i="3"/>
  <c r="G643" i="3"/>
  <c r="G282" i="3"/>
  <c r="H463" i="3" l="1"/>
  <c r="H262" i="3"/>
  <c r="G744" i="3"/>
  <c r="H237" i="3"/>
  <c r="H1059" i="3"/>
  <c r="G1063" i="3" s="1"/>
  <c r="H643" i="3"/>
  <c r="H1054" i="3"/>
  <c r="H281" i="3"/>
  <c r="H1074" i="3"/>
  <c r="I78" i="3"/>
  <c r="H78" i="3"/>
  <c r="G81" i="3" s="1"/>
  <c r="G782" i="3"/>
  <c r="H498" i="3"/>
  <c r="H469" i="3"/>
  <c r="H484" i="3"/>
  <c r="I47" i="3"/>
  <c r="H47" i="3"/>
  <c r="H40" i="3"/>
  <c r="I40" i="3"/>
  <c r="H1164" i="3"/>
  <c r="G1168" i="3" s="1"/>
  <c r="H282" i="3"/>
  <c r="H1080" i="3"/>
  <c r="H661" i="3"/>
  <c r="I52" i="3"/>
  <c r="H52" i="3"/>
  <c r="H716" i="3"/>
  <c r="G664" i="3" l="1"/>
  <c r="G286" i="3"/>
  <c r="G485" i="3"/>
  <c r="G238" i="3"/>
  <c r="G266" i="3"/>
  <c r="G56" i="3"/>
  <c r="J52" i="3"/>
  <c r="J40" i="3"/>
  <c r="G41" i="3"/>
  <c r="H1168" i="3"/>
  <c r="G1172" i="3" s="1"/>
  <c r="G51" i="3"/>
  <c r="J47" i="3"/>
  <c r="G473" i="3"/>
  <c r="G1058" i="3"/>
  <c r="G467" i="3"/>
  <c r="G502" i="3"/>
  <c r="I81" i="3"/>
  <c r="H81" i="3"/>
  <c r="G285" i="3"/>
  <c r="J78" i="3"/>
  <c r="G644" i="3"/>
  <c r="G721" i="3"/>
  <c r="G1085" i="3"/>
  <c r="H782" i="3"/>
  <c r="G1078" i="3"/>
  <c r="H1063" i="3"/>
  <c r="H744" i="3"/>
  <c r="H1172" i="3" l="1"/>
  <c r="G1176" i="3" s="1"/>
  <c r="H467" i="3"/>
  <c r="H473" i="3"/>
  <c r="H41" i="3"/>
  <c r="I41" i="3"/>
  <c r="I39" i="3" s="1"/>
  <c r="H721" i="3"/>
  <c r="G763" i="3"/>
  <c r="I56" i="3"/>
  <c r="H56" i="3"/>
  <c r="H238" i="3"/>
  <c r="H286" i="3"/>
  <c r="H1078" i="3"/>
  <c r="H1085" i="3"/>
  <c r="H644" i="3"/>
  <c r="H285" i="3"/>
  <c r="G289" i="3" s="1"/>
  <c r="H502" i="3"/>
  <c r="H1058" i="3"/>
  <c r="G1062" i="3" s="1"/>
  <c r="G1067" i="3"/>
  <c r="G787" i="3"/>
  <c r="G85" i="3"/>
  <c r="J81" i="3"/>
  <c r="I51" i="3"/>
  <c r="H51" i="3"/>
  <c r="H266" i="3"/>
  <c r="H485" i="3"/>
  <c r="H664" i="3"/>
  <c r="H289" i="3" l="1"/>
  <c r="G1113" i="3"/>
  <c r="G290" i="3"/>
  <c r="G59" i="3"/>
  <c r="J56" i="3"/>
  <c r="G477" i="3"/>
  <c r="G270" i="3"/>
  <c r="H787" i="3"/>
  <c r="G726" i="3"/>
  <c r="H1176" i="3"/>
  <c r="G1180" i="3" s="1"/>
  <c r="G55" i="3"/>
  <c r="J51" i="3"/>
  <c r="H1067" i="3"/>
  <c r="G508" i="3"/>
  <c r="G647" i="3"/>
  <c r="H763" i="3"/>
  <c r="G45" i="3"/>
  <c r="J41" i="3"/>
  <c r="J39" i="3" s="1"/>
  <c r="G672" i="3"/>
  <c r="H1062" i="3"/>
  <c r="G489" i="3"/>
  <c r="I85" i="3"/>
  <c r="H85" i="3"/>
  <c r="G1083" i="3"/>
  <c r="G241" i="3"/>
  <c r="G471" i="3"/>
  <c r="G792" i="3" l="1"/>
  <c r="G293" i="3"/>
  <c r="H647" i="3"/>
  <c r="H471" i="3"/>
  <c r="H1083" i="3"/>
  <c r="H489" i="3"/>
  <c r="G778" i="3"/>
  <c r="H508" i="3"/>
  <c r="G88" i="3"/>
  <c r="J85" i="3"/>
  <c r="G1066" i="3"/>
  <c r="H672" i="3"/>
  <c r="I55" i="3"/>
  <c r="H55" i="3"/>
  <c r="H726" i="3"/>
  <c r="H270" i="3"/>
  <c r="H59" i="3"/>
  <c r="I59" i="3"/>
  <c r="H1113" i="3"/>
  <c r="H241" i="3"/>
  <c r="I45" i="3"/>
  <c r="H45" i="3"/>
  <c r="G1073" i="3"/>
  <c r="H1180" i="3"/>
  <c r="G1185" i="3" s="1"/>
  <c r="H477" i="3"/>
  <c r="H290" i="3"/>
  <c r="G731" i="3" l="1"/>
  <c r="H778" i="3"/>
  <c r="G648" i="3"/>
  <c r="G481" i="3"/>
  <c r="G65" i="3"/>
  <c r="J59" i="3"/>
  <c r="G679" i="3"/>
  <c r="H88" i="3"/>
  <c r="I88" i="3"/>
  <c r="G1088" i="3"/>
  <c r="H792" i="3"/>
  <c r="G294" i="3"/>
  <c r="H1185" i="3"/>
  <c r="G1188" i="3" s="1"/>
  <c r="G46" i="3"/>
  <c r="J45" i="3"/>
  <c r="G1122" i="3"/>
  <c r="G274" i="3"/>
  <c r="G60" i="3"/>
  <c r="J55" i="3"/>
  <c r="G512" i="3"/>
  <c r="G493" i="3"/>
  <c r="G475" i="3"/>
  <c r="H1066" i="3"/>
  <c r="H293" i="3"/>
  <c r="H1073" i="3"/>
  <c r="G242" i="3"/>
  <c r="H242" i="3" l="1"/>
  <c r="H493" i="3"/>
  <c r="H60" i="3"/>
  <c r="I60" i="3"/>
  <c r="H1122" i="3"/>
  <c r="H1188" i="3"/>
  <c r="G1191" i="3" s="1"/>
  <c r="G797" i="3"/>
  <c r="G92" i="3"/>
  <c r="J88" i="3"/>
  <c r="I65" i="3"/>
  <c r="H65" i="3"/>
  <c r="H648" i="3"/>
  <c r="G1072" i="3"/>
  <c r="H475" i="3"/>
  <c r="H512" i="3"/>
  <c r="H274" i="3"/>
  <c r="I46" i="3"/>
  <c r="I44" i="3" s="1"/>
  <c r="H46" i="3"/>
  <c r="H294" i="3"/>
  <c r="H1088" i="3"/>
  <c r="H481" i="3"/>
  <c r="G1077" i="3"/>
  <c r="G299" i="3"/>
  <c r="H679" i="3"/>
  <c r="G783" i="3"/>
  <c r="H731" i="3"/>
  <c r="H797" i="3" l="1"/>
  <c r="G736" i="3"/>
  <c r="G690" i="3"/>
  <c r="G487" i="3"/>
  <c r="G278" i="3"/>
  <c r="G651" i="3"/>
  <c r="G243" i="3"/>
  <c r="G1092" i="3"/>
  <c r="J46" i="3"/>
  <c r="J44" i="3" s="1"/>
  <c r="G50" i="3"/>
  <c r="G516" i="3"/>
  <c r="H1072" i="3"/>
  <c r="G69" i="3"/>
  <c r="J65" i="3"/>
  <c r="G1127" i="3"/>
  <c r="G497" i="3"/>
  <c r="H783" i="3"/>
  <c r="H299" i="3"/>
  <c r="H1077" i="3"/>
  <c r="G300" i="3"/>
  <c r="G479" i="3"/>
  <c r="I92" i="3"/>
  <c r="H92" i="3"/>
  <c r="H1191" i="3"/>
  <c r="G1194" i="3" s="1"/>
  <c r="G64" i="3"/>
  <c r="J60" i="3"/>
  <c r="H1194" i="3" l="1"/>
  <c r="G1197" i="3" s="1"/>
  <c r="H479" i="3"/>
  <c r="G1082" i="3"/>
  <c r="G803" i="3"/>
  <c r="I50" i="3"/>
  <c r="I49" i="3" s="1"/>
  <c r="H50" i="3"/>
  <c r="H243" i="3"/>
  <c r="H690" i="3"/>
  <c r="G802" i="3"/>
  <c r="G93" i="3"/>
  <c r="J92" i="3"/>
  <c r="H300" i="3"/>
  <c r="H1127" i="3"/>
  <c r="G1076" i="3"/>
  <c r="H278" i="3"/>
  <c r="I64" i="3"/>
  <c r="H64" i="3"/>
  <c r="G303" i="3"/>
  <c r="H497" i="3"/>
  <c r="I69" i="3"/>
  <c r="H69" i="3"/>
  <c r="H516" i="3"/>
  <c r="H1092" i="3"/>
  <c r="H651" i="3"/>
  <c r="H487" i="3"/>
  <c r="H736" i="3"/>
  <c r="G1096" i="3" l="1"/>
  <c r="H303" i="3"/>
  <c r="G283" i="3"/>
  <c r="G1129" i="3"/>
  <c r="G695" i="3"/>
  <c r="G54" i="3"/>
  <c r="J50" i="3"/>
  <c r="J49" i="3" s="1"/>
  <c r="G740" i="3"/>
  <c r="G652" i="3"/>
  <c r="G501" i="3"/>
  <c r="I93" i="3"/>
  <c r="H93" i="3"/>
  <c r="H1082" i="3"/>
  <c r="H1197" i="3"/>
  <c r="G1203" i="3" s="1"/>
  <c r="G520" i="3"/>
  <c r="G70" i="3"/>
  <c r="J64" i="3"/>
  <c r="H1076" i="3"/>
  <c r="G304" i="3"/>
  <c r="G247" i="3"/>
  <c r="G506" i="3"/>
  <c r="G491" i="3"/>
  <c r="J69" i="3"/>
  <c r="G76" i="3"/>
  <c r="H802" i="3"/>
  <c r="H803" i="3"/>
  <c r="G807" i="3" l="1"/>
  <c r="H491" i="3"/>
  <c r="H520" i="3"/>
  <c r="H501" i="3"/>
  <c r="H740" i="3"/>
  <c r="H695" i="3"/>
  <c r="H283" i="3"/>
  <c r="H76" i="3"/>
  <c r="I76" i="3"/>
  <c r="H1203" i="3"/>
  <c r="G97" i="3"/>
  <c r="J93" i="3"/>
  <c r="H652" i="3"/>
  <c r="H1096" i="3"/>
  <c r="H506" i="3"/>
  <c r="H304" i="3"/>
  <c r="I70" i="3"/>
  <c r="H70" i="3"/>
  <c r="I54" i="3"/>
  <c r="I53" i="3" s="1"/>
  <c r="H54" i="3"/>
  <c r="H1129" i="3"/>
  <c r="G307" i="3"/>
  <c r="H247" i="3"/>
  <c r="G1081" i="3"/>
  <c r="G1087" i="3"/>
  <c r="G58" i="3" l="1"/>
  <c r="J54" i="3"/>
  <c r="J53" i="3" s="1"/>
  <c r="G655" i="3"/>
  <c r="G287" i="3"/>
  <c r="G524" i="3"/>
  <c r="H1081" i="3"/>
  <c r="H307" i="3"/>
  <c r="G308" i="3"/>
  <c r="G1207" i="3"/>
  <c r="G745" i="3"/>
  <c r="H807" i="3"/>
  <c r="G1130" i="3"/>
  <c r="G1100" i="3"/>
  <c r="G704" i="3"/>
  <c r="G495" i="3"/>
  <c r="H1087" i="3"/>
  <c r="G298" i="3"/>
  <c r="J70" i="3"/>
  <c r="G75" i="3"/>
  <c r="G507" i="3"/>
  <c r="I97" i="3"/>
  <c r="H97" i="3"/>
  <c r="J76" i="3"/>
  <c r="G83" i="3"/>
  <c r="G527" i="3"/>
  <c r="I83" i="3" l="1"/>
  <c r="H83" i="3"/>
  <c r="H507" i="3"/>
  <c r="H298" i="3"/>
  <c r="H745" i="3"/>
  <c r="H308" i="3"/>
  <c r="H287" i="3"/>
  <c r="H495" i="3"/>
  <c r="H1100" i="3"/>
  <c r="G812" i="3"/>
  <c r="H1207" i="3"/>
  <c r="H58" i="3"/>
  <c r="I58" i="3"/>
  <c r="I57" i="3" s="1"/>
  <c r="J97" i="3"/>
  <c r="G98" i="3"/>
  <c r="H75" i="3"/>
  <c r="I75" i="3"/>
  <c r="I72" i="3" s="1"/>
  <c r="H704" i="3"/>
  <c r="G311" i="3"/>
  <c r="H524" i="3"/>
  <c r="H655" i="3"/>
  <c r="H527" i="3"/>
  <c r="G1091" i="3"/>
  <c r="H1130" i="3"/>
  <c r="G1086" i="3"/>
  <c r="G710" i="3" l="1"/>
  <c r="G1211" i="3"/>
  <c r="G316" i="3"/>
  <c r="J83" i="3"/>
  <c r="G90" i="3"/>
  <c r="G529" i="3"/>
  <c r="I98" i="3"/>
  <c r="H98" i="3"/>
  <c r="G1107" i="3"/>
  <c r="G291" i="3"/>
  <c r="G749" i="3"/>
  <c r="G511" i="3"/>
  <c r="H1086" i="3"/>
  <c r="H1091" i="3"/>
  <c r="G528" i="3"/>
  <c r="G656" i="3"/>
  <c r="G499" i="3"/>
  <c r="G1133" i="3"/>
  <c r="H311" i="3"/>
  <c r="G317" i="3" s="1"/>
  <c r="G79" i="3"/>
  <c r="J75" i="3"/>
  <c r="J72" i="3" s="1"/>
  <c r="G62" i="3"/>
  <c r="J58" i="3"/>
  <c r="J57" i="3" s="1"/>
  <c r="H812" i="3"/>
  <c r="G312" i="3"/>
  <c r="H312" i="3" l="1"/>
  <c r="G318" i="3" s="1"/>
  <c r="I62" i="3"/>
  <c r="H62" i="3"/>
  <c r="H499" i="3"/>
  <c r="H656" i="3"/>
  <c r="G1095" i="3"/>
  <c r="H511" i="3"/>
  <c r="H291" i="3"/>
  <c r="G1090" i="3"/>
  <c r="H1107" i="3"/>
  <c r="H529" i="3"/>
  <c r="G816" i="3"/>
  <c r="I79" i="3"/>
  <c r="H79" i="3"/>
  <c r="G82" i="3" s="1"/>
  <c r="H1133" i="3"/>
  <c r="H528" i="3"/>
  <c r="H749" i="3"/>
  <c r="H316" i="3"/>
  <c r="H710" i="3"/>
  <c r="H317" i="3"/>
  <c r="G128" i="3"/>
  <c r="J98" i="3"/>
  <c r="H90" i="3"/>
  <c r="I90" i="3"/>
  <c r="H1211" i="3"/>
  <c r="I128" i="3" l="1"/>
  <c r="H128" i="3"/>
  <c r="G129" i="3" s="1"/>
  <c r="G725" i="3"/>
  <c r="G753" i="3"/>
  <c r="G515" i="3"/>
  <c r="G659" i="3"/>
  <c r="G63" i="3"/>
  <c r="J62" i="3"/>
  <c r="G321" i="3"/>
  <c r="G1136" i="3"/>
  <c r="H816" i="3"/>
  <c r="G1110" i="3"/>
  <c r="G95" i="3"/>
  <c r="J90" i="3"/>
  <c r="G338" i="3"/>
  <c r="I82" i="3"/>
  <c r="I80" i="3" s="1"/>
  <c r="H82" i="3"/>
  <c r="G295" i="3"/>
  <c r="H1095" i="3"/>
  <c r="G503" i="3"/>
  <c r="H318" i="3"/>
  <c r="G1214" i="3"/>
  <c r="G531" i="3"/>
  <c r="J79" i="3"/>
  <c r="J77" i="3" s="1"/>
  <c r="I77" i="3"/>
  <c r="G532" i="3"/>
  <c r="H1090" i="3"/>
  <c r="I95" i="3" l="1"/>
  <c r="H95" i="3"/>
  <c r="G821" i="3"/>
  <c r="I129" i="3"/>
  <c r="J129" i="3" s="1"/>
  <c r="H129" i="3"/>
  <c r="G132" i="3" s="1"/>
  <c r="G1094" i="3"/>
  <c r="H338" i="3"/>
  <c r="H321" i="3"/>
  <c r="H659" i="3"/>
  <c r="H753" i="3"/>
  <c r="J128" i="3"/>
  <c r="H1214" i="3"/>
  <c r="H503" i="3"/>
  <c r="H295" i="3"/>
  <c r="H1110" i="3"/>
  <c r="G1116" i="3" s="1"/>
  <c r="H725" i="3"/>
  <c r="H532" i="3"/>
  <c r="H531" i="3"/>
  <c r="G322" i="3"/>
  <c r="G1099" i="3"/>
  <c r="G86" i="3"/>
  <c r="J82" i="3"/>
  <c r="J80" i="3" s="1"/>
  <c r="H1136" i="3"/>
  <c r="I63" i="3"/>
  <c r="I61" i="3" s="1"/>
  <c r="H63" i="3"/>
  <c r="H515" i="3"/>
  <c r="H1099" i="3" l="1"/>
  <c r="G535" i="3"/>
  <c r="G730" i="3"/>
  <c r="G509" i="3"/>
  <c r="G660" i="3"/>
  <c r="H132" i="3"/>
  <c r="I132" i="3"/>
  <c r="G111" i="3"/>
  <c r="J95" i="3"/>
  <c r="G519" i="3"/>
  <c r="G1137" i="3"/>
  <c r="G759" i="3"/>
  <c r="G67" i="3"/>
  <c r="J63" i="3"/>
  <c r="J61" i="3" s="1"/>
  <c r="G536" i="3"/>
  <c r="G301" i="3"/>
  <c r="G1217" i="3"/>
  <c r="G325" i="3"/>
  <c r="I86" i="3"/>
  <c r="I84" i="3" s="1"/>
  <c r="H86" i="3"/>
  <c r="H322" i="3"/>
  <c r="H1116" i="3"/>
  <c r="G356" i="3"/>
  <c r="H1094" i="3"/>
  <c r="H821" i="3"/>
  <c r="G1098" i="3" l="1"/>
  <c r="G326" i="3"/>
  <c r="H301" i="3"/>
  <c r="H535" i="3"/>
  <c r="G1120" i="3"/>
  <c r="G89" i="3"/>
  <c r="J86" i="3"/>
  <c r="J84" i="3" s="1"/>
  <c r="H325" i="3"/>
  <c r="I67" i="3"/>
  <c r="H67" i="3"/>
  <c r="H1137" i="3"/>
  <c r="I111" i="3"/>
  <c r="H111" i="3"/>
  <c r="H660" i="3"/>
  <c r="H730" i="3"/>
  <c r="G1103" i="3"/>
  <c r="H759" i="3"/>
  <c r="G825" i="3"/>
  <c r="H356" i="3"/>
  <c r="H1217" i="3"/>
  <c r="H536" i="3"/>
  <c r="H519" i="3"/>
  <c r="G133" i="3"/>
  <c r="J132" i="3"/>
  <c r="H509" i="3"/>
  <c r="G540" i="3" l="1"/>
  <c r="G376" i="3"/>
  <c r="G329" i="3"/>
  <c r="H1120" i="3"/>
  <c r="H326" i="3"/>
  <c r="G330" i="3" s="1"/>
  <c r="H133" i="3"/>
  <c r="I133" i="3"/>
  <c r="G764" i="3"/>
  <c r="H1103" i="3"/>
  <c r="G666" i="3"/>
  <c r="G1140" i="3"/>
  <c r="G305" i="3"/>
  <c r="G513" i="3"/>
  <c r="G523" i="3"/>
  <c r="G735" i="3"/>
  <c r="G117" i="3"/>
  <c r="J111" i="3"/>
  <c r="J67" i="3"/>
  <c r="G68" i="3"/>
  <c r="G539" i="3"/>
  <c r="H1098" i="3"/>
  <c r="G1222" i="3"/>
  <c r="H825" i="3"/>
  <c r="H89" i="3"/>
  <c r="I89" i="3"/>
  <c r="I87" i="3" s="1"/>
  <c r="G94" i="3" l="1"/>
  <c r="J89" i="3"/>
  <c r="J87" i="3" s="1"/>
  <c r="H735" i="3"/>
  <c r="H513" i="3"/>
  <c r="H1140" i="3"/>
  <c r="G136" i="3"/>
  <c r="J133" i="3"/>
  <c r="G1125" i="3"/>
  <c r="H1222" i="3"/>
  <c r="G1227" i="3" s="1"/>
  <c r="H539" i="3"/>
  <c r="H666" i="3"/>
  <c r="H330" i="3"/>
  <c r="G830" i="3"/>
  <c r="I117" i="3"/>
  <c r="H117" i="3"/>
  <c r="H523" i="3"/>
  <c r="H305" i="3"/>
  <c r="H764" i="3"/>
  <c r="H329" i="3"/>
  <c r="H540" i="3"/>
  <c r="G1102" i="3"/>
  <c r="I68" i="3"/>
  <c r="H68" i="3"/>
  <c r="G1106" i="3"/>
  <c r="H376" i="3"/>
  <c r="G398" i="3" l="1"/>
  <c r="H1102" i="3"/>
  <c r="H1125" i="3"/>
  <c r="J68" i="3"/>
  <c r="G102" i="3"/>
  <c r="G544" i="3"/>
  <c r="G769" i="3"/>
  <c r="G577" i="3"/>
  <c r="G667" i="3"/>
  <c r="H1227" i="3"/>
  <c r="G517" i="3"/>
  <c r="I66" i="3"/>
  <c r="I19" i="3" s="1"/>
  <c r="H830" i="3"/>
  <c r="I136" i="3"/>
  <c r="H136" i="3"/>
  <c r="H1106" i="3"/>
  <c r="G333" i="3"/>
  <c r="G309" i="3"/>
  <c r="J117" i="3"/>
  <c r="G177" i="3"/>
  <c r="G334" i="3"/>
  <c r="G543" i="3"/>
  <c r="G1141" i="3"/>
  <c r="G739" i="3"/>
  <c r="I94" i="3"/>
  <c r="I91" i="3" s="1"/>
  <c r="H94" i="3"/>
  <c r="H1141" i="3" l="1"/>
  <c r="H334" i="3"/>
  <c r="H309" i="3"/>
  <c r="G1115" i="3"/>
  <c r="G836" i="3"/>
  <c r="H517" i="3"/>
  <c r="H667" i="3"/>
  <c r="H102" i="3"/>
  <c r="I102" i="3"/>
  <c r="G1105" i="3"/>
  <c r="I177" i="3"/>
  <c r="H177" i="3"/>
  <c r="G137" i="3"/>
  <c r="J136" i="3"/>
  <c r="H769" i="3"/>
  <c r="J66" i="3"/>
  <c r="J19" i="3" s="1"/>
  <c r="H739" i="3"/>
  <c r="H543" i="3"/>
  <c r="H333" i="3"/>
  <c r="G1232" i="3"/>
  <c r="H577" i="3"/>
  <c r="G1156" i="3"/>
  <c r="G99" i="3"/>
  <c r="J94" i="3"/>
  <c r="J91" i="3" s="1"/>
  <c r="H544" i="3"/>
  <c r="H398" i="3"/>
  <c r="G419" i="3" s="1"/>
  <c r="G548" i="3" l="1"/>
  <c r="H1156" i="3"/>
  <c r="G1161" i="3" s="1"/>
  <c r="H1232" i="3"/>
  <c r="G670" i="3"/>
  <c r="H836" i="3"/>
  <c r="G1144" i="3"/>
  <c r="H419" i="3"/>
  <c r="G582" i="3"/>
  <c r="G547" i="3"/>
  <c r="I137" i="3"/>
  <c r="H137" i="3"/>
  <c r="H1105" i="3"/>
  <c r="G313" i="3"/>
  <c r="I99" i="3"/>
  <c r="H99" i="3"/>
  <c r="G339" i="3"/>
  <c r="G774" i="3"/>
  <c r="G181" i="3"/>
  <c r="J177" i="3"/>
  <c r="G340" i="3"/>
  <c r="G748" i="3"/>
  <c r="G103" i="3"/>
  <c r="J102" i="3"/>
  <c r="G521" i="3"/>
  <c r="H1115" i="3"/>
  <c r="H748" i="3" l="1"/>
  <c r="H774" i="3"/>
  <c r="I96" i="3"/>
  <c r="I71" i="3"/>
  <c r="G1109" i="3"/>
  <c r="H547" i="3"/>
  <c r="G841" i="3"/>
  <c r="H521" i="3"/>
  <c r="H339" i="3"/>
  <c r="G140" i="3"/>
  <c r="J137" i="3"/>
  <c r="H670" i="3"/>
  <c r="G1235" i="3"/>
  <c r="H548" i="3"/>
  <c r="H340" i="3"/>
  <c r="I181" i="3"/>
  <c r="H181" i="3"/>
  <c r="H313" i="3"/>
  <c r="G319" i="3" s="1"/>
  <c r="H582" i="3"/>
  <c r="H1144" i="3"/>
  <c r="G1119" i="3"/>
  <c r="H103" i="3"/>
  <c r="I103" i="3"/>
  <c r="J99" i="3"/>
  <c r="G104" i="3"/>
  <c r="G420" i="3"/>
  <c r="H1161" i="3"/>
  <c r="G1166" i="3" s="1"/>
  <c r="H420" i="3" l="1"/>
  <c r="G1145" i="3"/>
  <c r="H841" i="3"/>
  <c r="G779" i="3"/>
  <c r="G533" i="3"/>
  <c r="G551" i="3"/>
  <c r="J96" i="3"/>
  <c r="J71" i="3"/>
  <c r="H1119" i="3"/>
  <c r="G185" i="3"/>
  <c r="J181" i="3"/>
  <c r="H1235" i="3"/>
  <c r="I140" i="3"/>
  <c r="H140" i="3"/>
  <c r="G552" i="3"/>
  <c r="G343" i="3"/>
  <c r="H1109" i="3"/>
  <c r="G1114" i="3" s="1"/>
  <c r="G106" i="3"/>
  <c r="J103" i="3"/>
  <c r="H319" i="3"/>
  <c r="G344" i="3"/>
  <c r="G671" i="3"/>
  <c r="H104" i="3"/>
  <c r="I104" i="3"/>
  <c r="I101" i="3" s="1"/>
  <c r="G587" i="3"/>
  <c r="G752" i="3"/>
  <c r="H1166" i="3"/>
  <c r="G1170" i="3" s="1"/>
  <c r="H1170" i="3" l="1"/>
  <c r="G1174" i="3" s="1"/>
  <c r="G108" i="3"/>
  <c r="J104" i="3"/>
  <c r="J101" i="3" s="1"/>
  <c r="H344" i="3"/>
  <c r="I106" i="3"/>
  <c r="H106" i="3"/>
  <c r="H343" i="3"/>
  <c r="J140" i="3"/>
  <c r="G141" i="3"/>
  <c r="H779" i="3"/>
  <c r="G323" i="3"/>
  <c r="H1114" i="3"/>
  <c r="I185" i="3"/>
  <c r="H185" i="3"/>
  <c r="H533" i="3"/>
  <c r="G846" i="3"/>
  <c r="H587" i="3"/>
  <c r="H671" i="3"/>
  <c r="H552" i="3"/>
  <c r="G421" i="3"/>
  <c r="H752" i="3"/>
  <c r="G1124" i="3"/>
  <c r="H551" i="3"/>
  <c r="H1145" i="3"/>
  <c r="I108" i="3" l="1"/>
  <c r="H108" i="3"/>
  <c r="H1124" i="3"/>
  <c r="G784" i="3"/>
  <c r="G555" i="3"/>
  <c r="G189" i="3"/>
  <c r="J185" i="3"/>
  <c r="G1118" i="3"/>
  <c r="G347" i="3"/>
  <c r="G348" i="3"/>
  <c r="H421" i="3"/>
  <c r="G674" i="3"/>
  <c r="H846" i="3"/>
  <c r="H1174" i="3"/>
  <c r="G1178" i="3" s="1"/>
  <c r="G1147" i="3"/>
  <c r="G758" i="3"/>
  <c r="G556" i="3"/>
  <c r="G592" i="3"/>
  <c r="G537" i="3"/>
  <c r="H323" i="3"/>
  <c r="I141" i="3"/>
  <c r="H141" i="3"/>
  <c r="G107" i="3"/>
  <c r="J106" i="3"/>
  <c r="H537" i="3" l="1"/>
  <c r="H556" i="3"/>
  <c r="H1147" i="3"/>
  <c r="G851" i="3"/>
  <c r="G112" i="3"/>
  <c r="J108" i="3"/>
  <c r="H758" i="3"/>
  <c r="H347" i="3"/>
  <c r="H189" i="3"/>
  <c r="I189" i="3"/>
  <c r="H784" i="3"/>
  <c r="I107" i="3"/>
  <c r="I105" i="3" s="1"/>
  <c r="H107" i="3"/>
  <c r="G327" i="3"/>
  <c r="H592" i="3"/>
  <c r="H1178" i="3"/>
  <c r="G1182" i="3" s="1"/>
  <c r="H674" i="3"/>
  <c r="G1155" i="3"/>
  <c r="J141" i="3"/>
  <c r="G162" i="3"/>
  <c r="G424" i="3"/>
  <c r="H348" i="3"/>
  <c r="H1118" i="3"/>
  <c r="H555" i="3"/>
  <c r="H851" i="3" l="1"/>
  <c r="G789" i="3"/>
  <c r="G351" i="3"/>
  <c r="H424" i="3"/>
  <c r="H1155" i="3"/>
  <c r="G1160" i="3" s="1"/>
  <c r="H1182" i="3"/>
  <c r="G1199" i="3" s="1"/>
  <c r="H327" i="3"/>
  <c r="G331" i="3" s="1"/>
  <c r="G541" i="3"/>
  <c r="G559" i="3"/>
  <c r="G352" i="3"/>
  <c r="I162" i="3"/>
  <c r="H162" i="3"/>
  <c r="G675" i="3"/>
  <c r="G110" i="3"/>
  <c r="J107" i="3"/>
  <c r="J105" i="3" s="1"/>
  <c r="G768" i="3"/>
  <c r="I112" i="3"/>
  <c r="H112" i="3"/>
  <c r="G1149" i="3"/>
  <c r="G598" i="3"/>
  <c r="G193" i="3"/>
  <c r="J189" i="3"/>
  <c r="G560" i="3"/>
  <c r="H559" i="3" l="1"/>
  <c r="G856" i="3"/>
  <c r="H560" i="3"/>
  <c r="H598" i="3"/>
  <c r="H1149" i="3"/>
  <c r="H768" i="3"/>
  <c r="H675" i="3"/>
  <c r="H352" i="3"/>
  <c r="H541" i="3"/>
  <c r="G425" i="3"/>
  <c r="G116" i="3"/>
  <c r="J112" i="3"/>
  <c r="G163" i="3"/>
  <c r="J162" i="3"/>
  <c r="H331" i="3"/>
  <c r="H1160" i="3"/>
  <c r="G1165" i="3" s="1"/>
  <c r="H789" i="3"/>
  <c r="I193" i="3"/>
  <c r="H193" i="3"/>
  <c r="I110" i="3"/>
  <c r="I109" i="3" s="1"/>
  <c r="H110" i="3"/>
  <c r="H1199" i="3"/>
  <c r="G1205" i="3" s="1"/>
  <c r="H351" i="3"/>
  <c r="G357" i="3" l="1"/>
  <c r="G545" i="3"/>
  <c r="G683" i="3"/>
  <c r="G1150" i="3"/>
  <c r="H1205" i="3"/>
  <c r="G197" i="3"/>
  <c r="J193" i="3"/>
  <c r="I116" i="3"/>
  <c r="H116" i="3"/>
  <c r="G564" i="3"/>
  <c r="G563" i="3"/>
  <c r="H1165" i="3"/>
  <c r="G1169" i="3" s="1"/>
  <c r="I163" i="3"/>
  <c r="H163" i="3"/>
  <c r="G773" i="3"/>
  <c r="G602" i="3"/>
  <c r="G114" i="3"/>
  <c r="J110" i="3"/>
  <c r="J109" i="3" s="1"/>
  <c r="G794" i="3"/>
  <c r="G335" i="3"/>
  <c r="H425" i="3"/>
  <c r="G358" i="3"/>
  <c r="H856" i="3"/>
  <c r="G166" i="3" l="1"/>
  <c r="J163" i="3"/>
  <c r="G121" i="3"/>
  <c r="J116" i="3"/>
  <c r="I197" i="3"/>
  <c r="H197" i="3"/>
  <c r="H1150" i="3"/>
  <c r="H563" i="3"/>
  <c r="H1169" i="3"/>
  <c r="G1173" i="3" s="1"/>
  <c r="G1209" i="3"/>
  <c r="H683" i="3"/>
  <c r="H357" i="3"/>
  <c r="H545" i="3"/>
  <c r="G861" i="3"/>
  <c r="G428" i="3"/>
  <c r="H794" i="3"/>
  <c r="H602" i="3"/>
  <c r="H358" i="3"/>
  <c r="H335" i="3"/>
  <c r="I114" i="3"/>
  <c r="H114" i="3"/>
  <c r="H773" i="3"/>
  <c r="H564" i="3"/>
  <c r="G115" i="3" l="1"/>
  <c r="J114" i="3"/>
  <c r="G361" i="3"/>
  <c r="G360" i="3"/>
  <c r="H1209" i="3"/>
  <c r="H861" i="3"/>
  <c r="G567" i="3"/>
  <c r="H121" i="3"/>
  <c r="I121" i="3"/>
  <c r="G341" i="3"/>
  <c r="G606" i="3"/>
  <c r="H428" i="3"/>
  <c r="G429" i="3" s="1"/>
  <c r="H1173" i="3"/>
  <c r="G1177" i="3" s="1"/>
  <c r="G201" i="3"/>
  <c r="J197" i="3"/>
  <c r="G568" i="3"/>
  <c r="G1153" i="3"/>
  <c r="G799" i="3"/>
  <c r="G788" i="3"/>
  <c r="G549" i="3"/>
  <c r="G684" i="3"/>
  <c r="I166" i="3"/>
  <c r="H166" i="3"/>
  <c r="J166" i="3" l="1"/>
  <c r="G167" i="3"/>
  <c r="H549" i="3"/>
  <c r="H799" i="3"/>
  <c r="I201" i="3"/>
  <c r="J201" i="3" s="1"/>
  <c r="H201" i="3"/>
  <c r="G206" i="3" s="1"/>
  <c r="H429" i="3"/>
  <c r="G431" i="3" s="1"/>
  <c r="H341" i="3"/>
  <c r="H567" i="3"/>
  <c r="G1224" i="3"/>
  <c r="H361" i="3"/>
  <c r="H568" i="3"/>
  <c r="H1177" i="3"/>
  <c r="G1181" i="3" s="1"/>
  <c r="G865" i="3"/>
  <c r="H684" i="3"/>
  <c r="H788" i="3"/>
  <c r="H1153" i="3"/>
  <c r="G1158" i="3" s="1"/>
  <c r="H606" i="3"/>
  <c r="G125" i="3"/>
  <c r="J121" i="3"/>
  <c r="H360" i="3"/>
  <c r="I115" i="3"/>
  <c r="I113" i="3" s="1"/>
  <c r="H115" i="3"/>
  <c r="G119" i="3" l="1"/>
  <c r="J115" i="3"/>
  <c r="J113" i="3" s="1"/>
  <c r="H1181" i="3"/>
  <c r="G1186" i="3" s="1"/>
  <c r="G804" i="3"/>
  <c r="G363" i="3"/>
  <c r="G793" i="3"/>
  <c r="G574" i="3"/>
  <c r="G345" i="3"/>
  <c r="I167" i="3"/>
  <c r="H167" i="3"/>
  <c r="H1158" i="3"/>
  <c r="G1163" i="3" s="1"/>
  <c r="G364" i="3"/>
  <c r="G572" i="3"/>
  <c r="H431" i="3"/>
  <c r="I125" i="3"/>
  <c r="H125" i="3"/>
  <c r="G688" i="3"/>
  <c r="G611" i="3"/>
  <c r="H865" i="3"/>
  <c r="H1224" i="3"/>
  <c r="G1229" i="3" s="1"/>
  <c r="I206" i="3"/>
  <c r="H206" i="3"/>
  <c r="G553" i="3"/>
  <c r="G170" i="3" l="1"/>
  <c r="J167" i="3"/>
  <c r="H574" i="3"/>
  <c r="H1186" i="3"/>
  <c r="G1189" i="3" s="1"/>
  <c r="G211" i="3"/>
  <c r="J206" i="3"/>
  <c r="G432" i="3"/>
  <c r="G869" i="3"/>
  <c r="H688" i="3"/>
  <c r="H364" i="3"/>
  <c r="H363" i="3"/>
  <c r="H1229" i="3"/>
  <c r="H611" i="3"/>
  <c r="G130" i="3"/>
  <c r="J125" i="3"/>
  <c r="H572" i="3"/>
  <c r="H553" i="3"/>
  <c r="H1163" i="3"/>
  <c r="G1184" i="3" s="1"/>
  <c r="H345" i="3"/>
  <c r="H793" i="3"/>
  <c r="H804" i="3"/>
  <c r="H119" i="3"/>
  <c r="I119" i="3"/>
  <c r="H1184" i="3" l="1"/>
  <c r="G1202" i="3" s="1"/>
  <c r="I130" i="3"/>
  <c r="H130" i="3"/>
  <c r="G134" i="3" s="1"/>
  <c r="G367" i="3"/>
  <c r="H869" i="3"/>
  <c r="I211" i="3"/>
  <c r="H211" i="3"/>
  <c r="G120" i="3"/>
  <c r="J119" i="3"/>
  <c r="G798" i="3"/>
  <c r="G616" i="3"/>
  <c r="G689" i="3"/>
  <c r="H432" i="3"/>
  <c r="G579" i="3"/>
  <c r="G349" i="3"/>
  <c r="G573" i="3"/>
  <c r="G366" i="3"/>
  <c r="H1189" i="3"/>
  <c r="G1192" i="3" s="1"/>
  <c r="G809" i="3"/>
  <c r="G557" i="3"/>
  <c r="G1237" i="3"/>
  <c r="I170" i="3"/>
  <c r="H170" i="3"/>
  <c r="G875" i="3" l="1"/>
  <c r="H134" i="3"/>
  <c r="I134" i="3"/>
  <c r="I131" i="3" s="1"/>
  <c r="G171" i="3"/>
  <c r="J170" i="3"/>
  <c r="H809" i="3"/>
  <c r="H366" i="3"/>
  <c r="H349" i="3"/>
  <c r="H616" i="3"/>
  <c r="H120" i="3"/>
  <c r="I120" i="3"/>
  <c r="I118" i="3" s="1"/>
  <c r="J130" i="3"/>
  <c r="J127" i="3" s="1"/>
  <c r="I127" i="3"/>
  <c r="H1192" i="3"/>
  <c r="G1195" i="3" s="1"/>
  <c r="G216" i="3"/>
  <c r="J211" i="3"/>
  <c r="H1202" i="3"/>
  <c r="H1237" i="3"/>
  <c r="H557" i="3"/>
  <c r="H573" i="3"/>
  <c r="H579" i="3"/>
  <c r="H689" i="3"/>
  <c r="H798" i="3"/>
  <c r="H367" i="3"/>
  <c r="I171" i="3" l="1"/>
  <c r="H171" i="3"/>
  <c r="H875" i="3"/>
  <c r="G353" i="3"/>
  <c r="G814" i="3"/>
  <c r="G578" i="3"/>
  <c r="I216" i="3"/>
  <c r="H216" i="3"/>
  <c r="G369" i="3"/>
  <c r="G808" i="3"/>
  <c r="G584" i="3"/>
  <c r="G561" i="3"/>
  <c r="G1204" i="3"/>
  <c r="H1195" i="3"/>
  <c r="G1198" i="3" s="1"/>
  <c r="G370" i="3"/>
  <c r="G693" i="3"/>
  <c r="G123" i="3"/>
  <c r="J120" i="3"/>
  <c r="J118" i="3" s="1"/>
  <c r="G138" i="3"/>
  <c r="J134" i="3"/>
  <c r="J131" i="3" s="1"/>
  <c r="H561" i="3" l="1"/>
  <c r="H808" i="3"/>
  <c r="H814" i="3"/>
  <c r="G880" i="3"/>
  <c r="I123" i="3"/>
  <c r="H123" i="3"/>
  <c r="H370" i="3"/>
  <c r="H1204" i="3"/>
  <c r="H584" i="3"/>
  <c r="G221" i="3"/>
  <c r="J216" i="3"/>
  <c r="H578" i="3"/>
  <c r="H353" i="3"/>
  <c r="J171" i="3"/>
  <c r="G175" i="3"/>
  <c r="I138" i="3"/>
  <c r="I135" i="3" s="1"/>
  <c r="H138" i="3"/>
  <c r="H693" i="3"/>
  <c r="H1198" i="3"/>
  <c r="H369" i="3"/>
  <c r="G818" i="3" l="1"/>
  <c r="G565" i="3"/>
  <c r="G142" i="3"/>
  <c r="J138" i="3"/>
  <c r="J135" i="3" s="1"/>
  <c r="G124" i="3"/>
  <c r="J123" i="3"/>
  <c r="G379" i="3"/>
  <c r="H221" i="3"/>
  <c r="J221" i="3" s="1"/>
  <c r="I221" i="3"/>
  <c r="G1208" i="3"/>
  <c r="G372" i="3"/>
  <c r="G694" i="3"/>
  <c r="I175" i="3"/>
  <c r="H175" i="3"/>
  <c r="G583" i="3"/>
  <c r="G589" i="3"/>
  <c r="G373" i="3"/>
  <c r="G813" i="3"/>
  <c r="H880" i="3"/>
  <c r="H813" i="3" l="1"/>
  <c r="H589" i="3"/>
  <c r="H379" i="3"/>
  <c r="H372" i="3"/>
  <c r="G377" i="3" s="1"/>
  <c r="G885" i="3"/>
  <c r="H694" i="3"/>
  <c r="H1208" i="3"/>
  <c r="I124" i="3"/>
  <c r="I122" i="3" s="1"/>
  <c r="I100" i="3" s="1"/>
  <c r="H124" i="3"/>
  <c r="H565" i="3"/>
  <c r="H373" i="3"/>
  <c r="G378" i="3" s="1"/>
  <c r="H583" i="3"/>
  <c r="G179" i="3"/>
  <c r="J175" i="3"/>
  <c r="I142" i="3"/>
  <c r="I139" i="3" s="1"/>
  <c r="I126" i="3" s="1"/>
  <c r="H142" i="3"/>
  <c r="H818" i="3"/>
  <c r="G1212" i="3" l="1"/>
  <c r="H885" i="3"/>
  <c r="J142" i="3"/>
  <c r="G147" i="3"/>
  <c r="G588" i="3"/>
  <c r="G569" i="3"/>
  <c r="G594" i="3"/>
  <c r="G823" i="3"/>
  <c r="H378" i="3"/>
  <c r="G145" i="3"/>
  <c r="J124" i="3"/>
  <c r="J122" i="3" s="1"/>
  <c r="J100" i="3" s="1"/>
  <c r="G698" i="3"/>
  <c r="H377" i="3"/>
  <c r="G383" i="3"/>
  <c r="I179" i="3"/>
  <c r="H179" i="3"/>
  <c r="G817" i="3"/>
  <c r="H594" i="3" l="1"/>
  <c r="H588" i="3"/>
  <c r="H145" i="3"/>
  <c r="I145" i="3"/>
  <c r="H147" i="3"/>
  <c r="I147" i="3"/>
  <c r="H817" i="3"/>
  <c r="H383" i="3"/>
  <c r="H698" i="3"/>
  <c r="G890" i="3"/>
  <c r="G183" i="3"/>
  <c r="J179" i="3"/>
  <c r="G381" i="3"/>
  <c r="G382" i="3"/>
  <c r="H823" i="3"/>
  <c r="H569" i="3"/>
  <c r="J139" i="3"/>
  <c r="J126" i="3" s="1"/>
  <c r="H1212" i="3"/>
  <c r="G575" i="3" l="1"/>
  <c r="G827" i="3"/>
  <c r="H381" i="3"/>
  <c r="G151" i="3"/>
  <c r="J147" i="3"/>
  <c r="G1215" i="3"/>
  <c r="G699" i="3"/>
  <c r="G822" i="3"/>
  <c r="H382" i="3"/>
  <c r="I183" i="3"/>
  <c r="H183" i="3"/>
  <c r="G146" i="3"/>
  <c r="J145" i="3"/>
  <c r="G593" i="3"/>
  <c r="H890" i="3"/>
  <c r="G387" i="3"/>
  <c r="G599" i="3"/>
  <c r="H822" i="3" l="1"/>
  <c r="G385" i="3"/>
  <c r="G187" i="3"/>
  <c r="J183" i="3"/>
  <c r="I151" i="3"/>
  <c r="H151" i="3"/>
  <c r="H827" i="3"/>
  <c r="H387" i="3"/>
  <c r="H593" i="3"/>
  <c r="H599" i="3"/>
  <c r="G386" i="3"/>
  <c r="H1215" i="3"/>
  <c r="H575" i="3"/>
  <c r="G894" i="3"/>
  <c r="H146" i="3"/>
  <c r="I146" i="3"/>
  <c r="I144" i="3" s="1"/>
  <c r="H699" i="3"/>
  <c r="H385" i="3" l="1"/>
  <c r="G149" i="3"/>
  <c r="J146" i="3"/>
  <c r="J144" i="3" s="1"/>
  <c r="G580" i="3"/>
  <c r="H386" i="3"/>
  <c r="G832" i="3"/>
  <c r="G708" i="3"/>
  <c r="G1218" i="3"/>
  <c r="G612" i="3"/>
  <c r="H187" i="3"/>
  <c r="I187" i="3"/>
  <c r="G826" i="3"/>
  <c r="H894" i="3"/>
  <c r="G603" i="3"/>
  <c r="G391" i="3"/>
  <c r="G155" i="3"/>
  <c r="J151" i="3"/>
  <c r="H391" i="3" l="1"/>
  <c r="G389" i="3"/>
  <c r="H826" i="3"/>
  <c r="I149" i="3"/>
  <c r="H149" i="3"/>
  <c r="G191" i="3"/>
  <c r="J187" i="3"/>
  <c r="H1218" i="3"/>
  <c r="H832" i="3"/>
  <c r="H580" i="3"/>
  <c r="G899" i="3"/>
  <c r="I155" i="3"/>
  <c r="H155" i="3"/>
  <c r="H603" i="3"/>
  <c r="H612" i="3"/>
  <c r="H708" i="3"/>
  <c r="G390" i="3"/>
  <c r="H390" i="3" l="1"/>
  <c r="G831" i="3"/>
  <c r="G1221" i="3"/>
  <c r="H899" i="3"/>
  <c r="G838" i="3"/>
  <c r="I191" i="3"/>
  <c r="H191" i="3"/>
  <c r="H389" i="3"/>
  <c r="G709" i="3"/>
  <c r="G607" i="3"/>
  <c r="G617" i="3"/>
  <c r="G159" i="3"/>
  <c r="J155" i="3"/>
  <c r="G585" i="3"/>
  <c r="G150" i="3"/>
  <c r="J149" i="3"/>
  <c r="G395" i="3"/>
  <c r="G904" i="3" l="1"/>
  <c r="H831" i="3"/>
  <c r="I150" i="3"/>
  <c r="I148" i="3" s="1"/>
  <c r="H150" i="3"/>
  <c r="I159" i="3"/>
  <c r="H159" i="3"/>
  <c r="H607" i="3"/>
  <c r="G393" i="3"/>
  <c r="H838" i="3"/>
  <c r="H1221" i="3"/>
  <c r="G1223" i="3" s="1"/>
  <c r="H709" i="3"/>
  <c r="H395" i="3"/>
  <c r="H585" i="3"/>
  <c r="H617" i="3"/>
  <c r="G195" i="3"/>
  <c r="J191" i="3"/>
  <c r="G394" i="3"/>
  <c r="G590" i="3" l="1"/>
  <c r="G713" i="3"/>
  <c r="H393" i="3"/>
  <c r="G837" i="3"/>
  <c r="I195" i="3"/>
  <c r="H195" i="3"/>
  <c r="G153" i="3"/>
  <c r="J150" i="3"/>
  <c r="J148" i="3" s="1"/>
  <c r="H904" i="3"/>
  <c r="G618" i="3"/>
  <c r="G401" i="3"/>
  <c r="G843" i="3"/>
  <c r="G613" i="3"/>
  <c r="H394" i="3"/>
  <c r="H1223" i="3"/>
  <c r="G1226" i="3" s="1"/>
  <c r="J159" i="3"/>
  <c r="G164" i="3"/>
  <c r="I164" i="3" l="1"/>
  <c r="I161" i="3" s="1"/>
  <c r="H164" i="3"/>
  <c r="G400" i="3"/>
  <c r="H843" i="3"/>
  <c r="H618" i="3"/>
  <c r="H1226" i="3"/>
  <c r="H613" i="3"/>
  <c r="I153" i="3"/>
  <c r="H153" i="3"/>
  <c r="H713" i="3"/>
  <c r="H401" i="3"/>
  <c r="G405" i="3" s="1"/>
  <c r="G199" i="3"/>
  <c r="J195" i="3"/>
  <c r="G399" i="3"/>
  <c r="G908" i="3"/>
  <c r="H590" i="3"/>
  <c r="H837" i="3"/>
  <c r="G714" i="3" l="1"/>
  <c r="G595" i="3"/>
  <c r="H908" i="3"/>
  <c r="I199" i="3"/>
  <c r="H199" i="3"/>
  <c r="G204" i="3" s="1"/>
  <c r="H400" i="3"/>
  <c r="G404" i="3" s="1"/>
  <c r="G842" i="3"/>
  <c r="H399" i="3"/>
  <c r="G403" i="3" s="1"/>
  <c r="H405" i="3"/>
  <c r="J153" i="3"/>
  <c r="G154" i="3"/>
  <c r="G848" i="3"/>
  <c r="G168" i="3"/>
  <c r="J164" i="3"/>
  <c r="J161" i="3" s="1"/>
  <c r="G1228" i="3"/>
  <c r="H1228" i="3" l="1"/>
  <c r="I168" i="3"/>
  <c r="I165" i="3" s="1"/>
  <c r="H168" i="3"/>
  <c r="H403" i="3"/>
  <c r="H404" i="3"/>
  <c r="G912" i="3"/>
  <c r="H848" i="3"/>
  <c r="G409" i="3"/>
  <c r="I204" i="3"/>
  <c r="H204" i="3"/>
  <c r="H714" i="3"/>
  <c r="I154" i="3"/>
  <c r="I152" i="3" s="1"/>
  <c r="H154" i="3"/>
  <c r="H842" i="3"/>
  <c r="J199" i="3"/>
  <c r="H595" i="3"/>
  <c r="G718" i="3" l="1"/>
  <c r="G847" i="3"/>
  <c r="G853" i="3"/>
  <c r="G408" i="3"/>
  <c r="G600" i="3"/>
  <c r="G157" i="3"/>
  <c r="J154" i="3"/>
  <c r="J152" i="3" s="1"/>
  <c r="H409" i="3"/>
  <c r="H912" i="3"/>
  <c r="G407" i="3"/>
  <c r="G1231" i="3"/>
  <c r="G205" i="3"/>
  <c r="J204" i="3"/>
  <c r="G172" i="3"/>
  <c r="J168" i="3"/>
  <c r="J165" i="3" s="1"/>
  <c r="H407" i="3" l="1"/>
  <c r="H853" i="3"/>
  <c r="I172" i="3"/>
  <c r="I169" i="3" s="1"/>
  <c r="I160" i="3" s="1"/>
  <c r="H172" i="3"/>
  <c r="H1231" i="3"/>
  <c r="G916" i="3"/>
  <c r="I157" i="3"/>
  <c r="H157" i="3"/>
  <c r="H408" i="3"/>
  <c r="H718" i="3"/>
  <c r="I205" i="3"/>
  <c r="H205" i="3"/>
  <c r="G413" i="3"/>
  <c r="H600" i="3"/>
  <c r="H847" i="3"/>
  <c r="G1233" i="3" l="1"/>
  <c r="H916" i="3"/>
  <c r="G412" i="3"/>
  <c r="G858" i="3"/>
  <c r="G852" i="3"/>
  <c r="H413" i="3"/>
  <c r="G158" i="3"/>
  <c r="J157" i="3"/>
  <c r="J172" i="3"/>
  <c r="J169" i="3" s="1"/>
  <c r="J160" i="3" s="1"/>
  <c r="G207" i="3"/>
  <c r="G411" i="3"/>
  <c r="G604" i="3"/>
  <c r="G209" i="3"/>
  <c r="J205" i="3"/>
  <c r="G719" i="3"/>
  <c r="I158" i="3" l="1"/>
  <c r="H158" i="3"/>
  <c r="I209" i="3"/>
  <c r="H209" i="3"/>
  <c r="H411" i="3"/>
  <c r="H852" i="3"/>
  <c r="H412" i="3"/>
  <c r="I207" i="3"/>
  <c r="I203" i="3" s="1"/>
  <c r="H207" i="3"/>
  <c r="G416" i="3"/>
  <c r="H858" i="3"/>
  <c r="H1233" i="3"/>
  <c r="H719" i="3"/>
  <c r="H604" i="3"/>
  <c r="G920" i="3"/>
  <c r="H920" i="3" l="1"/>
  <c r="G723" i="3"/>
  <c r="G863" i="3"/>
  <c r="G608" i="3"/>
  <c r="H416" i="3"/>
  <c r="G1236" i="3"/>
  <c r="J158" i="3"/>
  <c r="G176" i="3"/>
  <c r="G212" i="3"/>
  <c r="J207" i="3"/>
  <c r="J203" i="3" s="1"/>
  <c r="G857" i="3"/>
  <c r="J209" i="3"/>
  <c r="G210" i="3"/>
  <c r="I156" i="3"/>
  <c r="I143" i="3" s="1"/>
  <c r="J156" i="3" l="1"/>
  <c r="J143" i="3" s="1"/>
  <c r="H608" i="3"/>
  <c r="H723" i="3"/>
  <c r="I176" i="3"/>
  <c r="I174" i="3" s="1"/>
  <c r="H176" i="3"/>
  <c r="H1236" i="3"/>
  <c r="H857" i="3"/>
  <c r="I210" i="3"/>
  <c r="I208" i="3" s="1"/>
  <c r="H210" i="3"/>
  <c r="I212" i="3"/>
  <c r="H212" i="3"/>
  <c r="G422" i="3"/>
  <c r="H863" i="3"/>
  <c r="G924" i="3"/>
  <c r="G214" i="3" l="1"/>
  <c r="J210" i="3"/>
  <c r="G614" i="3"/>
  <c r="G862" i="3"/>
  <c r="G724" i="3"/>
  <c r="G180" i="3"/>
  <c r="J176" i="3"/>
  <c r="J174" i="3" s="1"/>
  <c r="H924" i="3"/>
  <c r="H422" i="3"/>
  <c r="G867" i="3"/>
  <c r="G217" i="3"/>
  <c r="J212" i="3"/>
  <c r="I217" i="3" l="1"/>
  <c r="H217" i="3"/>
  <c r="G426" i="3"/>
  <c r="I180" i="3"/>
  <c r="I178" i="3" s="1"/>
  <c r="H180" i="3"/>
  <c r="G928" i="3"/>
  <c r="H724" i="3"/>
  <c r="H862" i="3"/>
  <c r="J208" i="3"/>
  <c r="H867" i="3"/>
  <c r="H614" i="3"/>
  <c r="I214" i="3"/>
  <c r="H214" i="3"/>
  <c r="G215" i="3" l="1"/>
  <c r="J214" i="3"/>
  <c r="G866" i="3"/>
  <c r="H426" i="3"/>
  <c r="H928" i="3"/>
  <c r="G619" i="3"/>
  <c r="G871" i="3"/>
  <c r="G728" i="3"/>
  <c r="G184" i="3"/>
  <c r="J180" i="3"/>
  <c r="J178" i="3" s="1"/>
  <c r="G222" i="3"/>
  <c r="J217" i="3"/>
  <c r="I215" i="3" l="1"/>
  <c r="I213" i="3" s="1"/>
  <c r="H215" i="3"/>
  <c r="H866" i="3"/>
  <c r="H222" i="3"/>
  <c r="J222" i="3" s="1"/>
  <c r="I222" i="3"/>
  <c r="H728" i="3"/>
  <c r="H619" i="3"/>
  <c r="I184" i="3"/>
  <c r="I182" i="3" s="1"/>
  <c r="H184" i="3"/>
  <c r="H871" i="3"/>
  <c r="G933" i="3"/>
  <c r="G188" i="3" l="1"/>
  <c r="J184" i="3"/>
  <c r="J182" i="3" s="1"/>
  <c r="G729" i="3"/>
  <c r="H933" i="3"/>
  <c r="G870" i="3"/>
  <c r="G877" i="3"/>
  <c r="G219" i="3"/>
  <c r="J215" i="3"/>
  <c r="J213" i="3" s="1"/>
  <c r="H219" i="3" l="1"/>
  <c r="I219" i="3"/>
  <c r="G937" i="3"/>
  <c r="H877" i="3"/>
  <c r="H870" i="3"/>
  <c r="H188" i="3"/>
  <c r="I188" i="3"/>
  <c r="I186" i="3" s="1"/>
  <c r="H729" i="3"/>
  <c r="G882" i="3" l="1"/>
  <c r="H937" i="3"/>
  <c r="G876" i="3"/>
  <c r="G733" i="3"/>
  <c r="G192" i="3"/>
  <c r="J188" i="3"/>
  <c r="J186" i="3" s="1"/>
  <c r="G220" i="3"/>
  <c r="J219" i="3"/>
  <c r="H220" i="3" l="1"/>
  <c r="J220" i="3" s="1"/>
  <c r="J218" i="3" s="1"/>
  <c r="I220" i="3"/>
  <c r="H733" i="3"/>
  <c r="G942" i="3"/>
  <c r="I192" i="3"/>
  <c r="I190" i="3" s="1"/>
  <c r="H192" i="3"/>
  <c r="H876" i="3"/>
  <c r="H882" i="3"/>
  <c r="G734" i="3" l="1"/>
  <c r="G881" i="3"/>
  <c r="G887" i="3"/>
  <c r="I218" i="3"/>
  <c r="I202" i="3" s="1"/>
  <c r="G196" i="3"/>
  <c r="J192" i="3"/>
  <c r="J190" i="3" s="1"/>
  <c r="H942" i="3"/>
  <c r="J202" i="3"/>
  <c r="H881" i="3" l="1"/>
  <c r="G948" i="3"/>
  <c r="I196" i="3"/>
  <c r="I194" i="3" s="1"/>
  <c r="H196" i="3"/>
  <c r="H887" i="3"/>
  <c r="H734" i="3"/>
  <c r="H948" i="3" l="1"/>
  <c r="G892" i="3"/>
  <c r="G742" i="3"/>
  <c r="G200" i="3"/>
  <c r="J196" i="3"/>
  <c r="J194" i="3" s="1"/>
  <c r="G886" i="3"/>
  <c r="I200" i="3" l="1"/>
  <c r="H200" i="3"/>
  <c r="H892" i="3"/>
  <c r="H742" i="3"/>
  <c r="G952" i="3"/>
  <c r="H886" i="3"/>
  <c r="H952" i="3" l="1"/>
  <c r="G896" i="3"/>
  <c r="G891" i="3"/>
  <c r="G743" i="3"/>
  <c r="J200" i="3"/>
  <c r="I198" i="3"/>
  <c r="I173" i="3"/>
  <c r="I2" i="3" s="1"/>
  <c r="D3" i="4" s="1"/>
  <c r="H743" i="3" l="1"/>
  <c r="H896" i="3"/>
  <c r="J198" i="3"/>
  <c r="J173" i="3"/>
  <c r="J2" i="3" s="1"/>
  <c r="H891" i="3"/>
  <c r="G956" i="3"/>
  <c r="H956" i="3" l="1"/>
  <c r="G901" i="3"/>
  <c r="E3" i="4"/>
  <c r="C11" i="1"/>
  <c r="D11" i="1" s="1"/>
  <c r="G751" i="3"/>
  <c r="G895" i="3"/>
  <c r="H751" i="3" l="1"/>
  <c r="H901" i="3"/>
  <c r="I249" i="3"/>
  <c r="I226" i="3"/>
  <c r="I253" i="3"/>
  <c r="I248" i="3"/>
  <c r="J248" i="3"/>
  <c r="I252" i="3"/>
  <c r="I229" i="3"/>
  <c r="J249" i="3"/>
  <c r="J253" i="3"/>
  <c r="J229" i="3"/>
  <c r="J226" i="3"/>
  <c r="J252" i="3"/>
  <c r="I256" i="3"/>
  <c r="I257" i="3"/>
  <c r="I227" i="3"/>
  <c r="I234" i="3"/>
  <c r="J227" i="3"/>
  <c r="J257" i="3"/>
  <c r="J234" i="3"/>
  <c r="J256" i="3"/>
  <c r="I228" i="3"/>
  <c r="I261" i="3"/>
  <c r="I239" i="3"/>
  <c r="I260" i="3"/>
  <c r="J261" i="3"/>
  <c r="J239" i="3"/>
  <c r="J228" i="3"/>
  <c r="J260" i="3"/>
  <c r="I264" i="3"/>
  <c r="I231" i="3"/>
  <c r="I265" i="3"/>
  <c r="I244" i="3"/>
  <c r="J265" i="3"/>
  <c r="J231" i="3"/>
  <c r="J244" i="3"/>
  <c r="J264" i="3"/>
  <c r="I250" i="3"/>
  <c r="I268" i="3"/>
  <c r="I232" i="3"/>
  <c r="I269" i="3"/>
  <c r="J232" i="3"/>
  <c r="J268" i="3"/>
  <c r="J250" i="3"/>
  <c r="J269" i="3"/>
  <c r="I273" i="3"/>
  <c r="I272" i="3"/>
  <c r="I233" i="3"/>
  <c r="I254" i="3"/>
  <c r="J254" i="3"/>
  <c r="J233" i="3"/>
  <c r="J272" i="3"/>
  <c r="J273" i="3"/>
  <c r="I277" i="3"/>
  <c r="I276" i="3"/>
  <c r="I258" i="3"/>
  <c r="I236" i="3"/>
  <c r="J276" i="3"/>
  <c r="J236" i="3"/>
  <c r="J258" i="3"/>
  <c r="J277" i="3"/>
  <c r="I262" i="3"/>
  <c r="I237" i="3"/>
  <c r="I281" i="3"/>
  <c r="I282" i="3"/>
  <c r="J281" i="3"/>
  <c r="J282" i="3"/>
  <c r="J262" i="3"/>
  <c r="J237" i="3"/>
  <c r="I286" i="3"/>
  <c r="I285" i="3"/>
  <c r="I266" i="3"/>
  <c r="I238" i="3"/>
  <c r="I289" i="3"/>
  <c r="J286" i="3"/>
  <c r="J238" i="3"/>
  <c r="J266" i="3"/>
  <c r="I270" i="3"/>
  <c r="I290" i="3"/>
  <c r="J289" i="3"/>
  <c r="I241" i="3"/>
  <c r="J290" i="3"/>
  <c r="J270" i="3"/>
  <c r="J241" i="3"/>
  <c r="I293" i="3"/>
  <c r="I242" i="3"/>
  <c r="I274" i="3"/>
  <c r="I294" i="3"/>
  <c r="J293" i="3"/>
  <c r="I299" i="3"/>
  <c r="J294" i="3"/>
  <c r="J242" i="3"/>
  <c r="J274" i="3"/>
  <c r="I243" i="3"/>
  <c r="I300" i="3"/>
  <c r="J299" i="3"/>
  <c r="I278" i="3"/>
  <c r="I303" i="3"/>
  <c r="J278" i="3"/>
  <c r="J300" i="3"/>
  <c r="J243" i="3"/>
  <c r="I304" i="3"/>
  <c r="I247" i="3"/>
  <c r="I283" i="3"/>
  <c r="J303" i="3"/>
  <c r="J283" i="3"/>
  <c r="J304" i="3"/>
  <c r="I307" i="3"/>
  <c r="J247" i="3"/>
  <c r="I298" i="3"/>
  <c r="J307" i="3"/>
  <c r="I308" i="3"/>
  <c r="I287" i="3"/>
  <c r="J287" i="3"/>
  <c r="J308" i="3"/>
  <c r="J298" i="3"/>
  <c r="I311" i="3"/>
  <c r="I312" i="3"/>
  <c r="J312" i="3" s="1"/>
  <c r="I291" i="3"/>
  <c r="I316" i="3"/>
  <c r="I317" i="3"/>
  <c r="J316" i="3"/>
  <c r="J291" i="3"/>
  <c r="J317" i="3"/>
  <c r="I318" i="3"/>
  <c r="J318" i="3"/>
  <c r="I321" i="3"/>
  <c r="I295" i="3"/>
  <c r="I338" i="3"/>
  <c r="I322" i="3"/>
  <c r="J338" i="3"/>
  <c r="J295" i="3"/>
  <c r="J321" i="3"/>
  <c r="J322" i="3"/>
  <c r="I301" i="3"/>
  <c r="I325" i="3"/>
  <c r="I356" i="3"/>
  <c r="I326" i="3"/>
  <c r="J326" i="3" s="1"/>
  <c r="J325" i="3"/>
  <c r="J301" i="3"/>
  <c r="J356" i="3"/>
  <c r="I376" i="3"/>
  <c r="I330" i="3"/>
  <c r="I305" i="3"/>
  <c r="I329" i="3"/>
  <c r="J305" i="3"/>
  <c r="J330" i="3"/>
  <c r="J376" i="3"/>
  <c r="J329" i="3"/>
  <c r="I334" i="3"/>
  <c r="I333" i="3"/>
  <c r="I398" i="3"/>
  <c r="I309" i="3"/>
  <c r="J334" i="3"/>
  <c r="J333" i="3"/>
  <c r="J309" i="3"/>
  <c r="I419" i="3"/>
  <c r="I340" i="3"/>
  <c r="I313" i="3"/>
  <c r="J313" i="3" s="1"/>
  <c r="J419" i="3"/>
  <c r="I339" i="3"/>
  <c r="J339" i="3"/>
  <c r="J340" i="3"/>
  <c r="I319" i="3"/>
  <c r="I420" i="3"/>
  <c r="I344" i="3"/>
  <c r="I343" i="3"/>
  <c r="J319" i="3"/>
  <c r="J420" i="3"/>
  <c r="J344" i="3"/>
  <c r="I323" i="3"/>
  <c r="J343" i="3"/>
  <c r="I421" i="3"/>
  <c r="I348" i="3"/>
  <c r="I347" i="3"/>
  <c r="J421" i="3"/>
  <c r="J323" i="3"/>
  <c r="I424" i="3"/>
  <c r="J348" i="3"/>
  <c r="J347" i="3"/>
  <c r="I327" i="3"/>
  <c r="J327" i="3" s="1"/>
  <c r="I351" i="3"/>
  <c r="I352" i="3"/>
  <c r="J424" i="3"/>
  <c r="I331" i="3"/>
  <c r="J351" i="3"/>
  <c r="J352" i="3"/>
  <c r="J331" i="3"/>
  <c r="I425" i="3"/>
  <c r="J425" i="3"/>
  <c r="I335" i="3"/>
  <c r="I357" i="3"/>
  <c r="I358" i="3"/>
  <c r="J357" i="3"/>
  <c r="J335" i="3"/>
  <c r="I428" i="3"/>
  <c r="J358" i="3"/>
  <c r="I341" i="3"/>
  <c r="I360" i="3"/>
  <c r="I429" i="3"/>
  <c r="J429" i="3" s="1"/>
  <c r="I361" i="3"/>
  <c r="I431" i="3"/>
  <c r="J341" i="3"/>
  <c r="J360" i="3"/>
  <c r="J361" i="3"/>
  <c r="I364" i="3"/>
  <c r="I345" i="3"/>
  <c r="J431" i="3"/>
  <c r="I363" i="3"/>
  <c r="J363" i="3"/>
  <c r="J364" i="3"/>
  <c r="I432" i="3"/>
  <c r="J345" i="3"/>
  <c r="J432" i="3"/>
  <c r="I349" i="3"/>
  <c r="I366" i="3"/>
  <c r="I367" i="3"/>
  <c r="J367" i="3"/>
  <c r="J366" i="3"/>
  <c r="J349" i="3"/>
  <c r="I370" i="3"/>
  <c r="I369" i="3"/>
  <c r="I353" i="3"/>
  <c r="J369" i="3"/>
  <c r="J353" i="3"/>
  <c r="J370" i="3"/>
  <c r="I379" i="3"/>
  <c r="I372" i="3"/>
  <c r="I373" i="3"/>
  <c r="J373" i="3" s="1"/>
  <c r="J379" i="3"/>
  <c r="I377" i="3"/>
  <c r="I378" i="3"/>
  <c r="J377" i="3"/>
  <c r="J378" i="3"/>
  <c r="I383" i="3"/>
  <c r="I382" i="3"/>
  <c r="I381" i="3"/>
  <c r="J383" i="3"/>
  <c r="J381" i="3"/>
  <c r="I387" i="3"/>
  <c r="J382" i="3"/>
  <c r="I385" i="3"/>
  <c r="J387" i="3"/>
  <c r="I386" i="3"/>
  <c r="J385" i="3"/>
  <c r="J386" i="3"/>
  <c r="I391" i="3"/>
  <c r="I389" i="3"/>
  <c r="I390" i="3"/>
  <c r="J391" i="3"/>
  <c r="J389" i="3"/>
  <c r="I395" i="3"/>
  <c r="J390" i="3"/>
  <c r="I393" i="3"/>
  <c r="J395" i="3"/>
  <c r="I394" i="3"/>
  <c r="J393" i="3"/>
  <c r="I401" i="3"/>
  <c r="J401" i="3" s="1"/>
  <c r="J394" i="3"/>
  <c r="I399" i="3"/>
  <c r="J399" i="3" s="1"/>
  <c r="I400" i="3"/>
  <c r="J400" i="3" s="1"/>
  <c r="I405" i="3"/>
  <c r="I404" i="3"/>
  <c r="J405" i="3"/>
  <c r="I403" i="3"/>
  <c r="J403" i="3"/>
  <c r="I409" i="3"/>
  <c r="J404" i="3"/>
  <c r="I407" i="3"/>
  <c r="I408" i="3"/>
  <c r="J409" i="3"/>
  <c r="I413" i="3"/>
  <c r="J407" i="3"/>
  <c r="J408" i="3"/>
  <c r="I411" i="3"/>
  <c r="I412" i="3"/>
  <c r="J413" i="3"/>
  <c r="I416" i="3"/>
  <c r="I415" i="3" s="1"/>
  <c r="I414" i="3" s="1"/>
  <c r="J412" i="3"/>
  <c r="J411" i="3"/>
  <c r="J416" i="3"/>
  <c r="J415" i="3" s="1"/>
  <c r="J414" i="3" s="1"/>
  <c r="I422" i="3"/>
  <c r="J422" i="3"/>
  <c r="I426" i="3"/>
  <c r="J426" i="3"/>
  <c r="G960" i="3"/>
  <c r="H895" i="3"/>
  <c r="C3" i="4"/>
  <c r="J246" i="3" l="1"/>
  <c r="J362" i="3"/>
  <c r="I406" i="3"/>
  <c r="J384" i="3"/>
  <c r="I380" i="3"/>
  <c r="J328" i="3"/>
  <c r="I292" i="3"/>
  <c r="J259" i="3"/>
  <c r="J255" i="3"/>
  <c r="J251" i="3"/>
  <c r="J406" i="3"/>
  <c r="I402" i="3"/>
  <c r="J392" i="3"/>
  <c r="I362" i="3"/>
  <c r="J302" i="3"/>
  <c r="J292" i="3"/>
  <c r="I240" i="3"/>
  <c r="I259" i="3"/>
  <c r="G900" i="3"/>
  <c r="I418" i="3"/>
  <c r="I328" i="3"/>
  <c r="J320" i="3"/>
  <c r="J263" i="3"/>
  <c r="J410" i="3"/>
  <c r="I388" i="3"/>
  <c r="J372" i="3"/>
  <c r="J371" i="3" s="1"/>
  <c r="I371" i="3"/>
  <c r="J368" i="3"/>
  <c r="I365" i="3"/>
  <c r="J430" i="3"/>
  <c r="J359" i="3"/>
  <c r="I427" i="3"/>
  <c r="J428" i="3"/>
  <c r="J427" i="3" s="1"/>
  <c r="J423" i="3"/>
  <c r="J346" i="3"/>
  <c r="J342" i="3"/>
  <c r="J418" i="3"/>
  <c r="J398" i="3"/>
  <c r="J397" i="3" s="1"/>
  <c r="I397" i="3"/>
  <c r="J375" i="3"/>
  <c r="I324" i="3"/>
  <c r="I315" i="3"/>
  <c r="J297" i="3"/>
  <c r="I306" i="3"/>
  <c r="J240" i="3"/>
  <c r="J288" i="3"/>
  <c r="I280" i="3"/>
  <c r="J271" i="3"/>
  <c r="J225" i="3"/>
  <c r="G906" i="3"/>
  <c r="J355" i="3"/>
  <c r="I337" i="3"/>
  <c r="I310" i="3"/>
  <c r="J311" i="3"/>
  <c r="J310" i="3" s="1"/>
  <c r="I410" i="3"/>
  <c r="J388" i="3"/>
  <c r="J380" i="3"/>
  <c r="J365" i="3"/>
  <c r="I359" i="3"/>
  <c r="I346" i="3"/>
  <c r="I342" i="3"/>
  <c r="J332" i="3"/>
  <c r="I332" i="3"/>
  <c r="J324" i="3"/>
  <c r="J337" i="3"/>
  <c r="I320" i="3"/>
  <c r="J306" i="3"/>
  <c r="I246" i="3"/>
  <c r="J285" i="3"/>
  <c r="J284" i="3" s="1"/>
  <c r="I284" i="3"/>
  <c r="J235" i="3"/>
  <c r="I275" i="3"/>
  <c r="I271" i="3"/>
  <c r="J267" i="3"/>
  <c r="I267" i="3"/>
  <c r="J230" i="3"/>
  <c r="I230" i="3"/>
  <c r="I251" i="3"/>
  <c r="I225" i="3"/>
  <c r="G756" i="3"/>
  <c r="I355" i="3"/>
  <c r="I235" i="3"/>
  <c r="H960" i="3"/>
  <c r="J402" i="3"/>
  <c r="I392" i="3"/>
  <c r="I384" i="3"/>
  <c r="I368" i="3"/>
  <c r="I430" i="3"/>
  <c r="J350" i="3"/>
  <c r="I350" i="3"/>
  <c r="I423" i="3"/>
  <c r="I375" i="3"/>
  <c r="J315" i="3"/>
  <c r="I297" i="3"/>
  <c r="I302" i="3"/>
  <c r="I288" i="3"/>
  <c r="J280" i="3"/>
  <c r="J275" i="3"/>
  <c r="I263" i="3"/>
  <c r="I255" i="3"/>
  <c r="J279" i="3" l="1"/>
  <c r="J245" i="3"/>
  <c r="J314" i="3"/>
  <c r="J374" i="3"/>
  <c r="I224" i="3"/>
  <c r="J354" i="3"/>
  <c r="I374" i="3"/>
  <c r="I354" i="3"/>
  <c r="H906" i="3"/>
  <c r="I279" i="3"/>
  <c r="J296" i="3"/>
  <c r="I396" i="3"/>
  <c r="I417" i="3"/>
  <c r="H756" i="3"/>
  <c r="J336" i="3"/>
  <c r="I314" i="3"/>
  <c r="J396" i="3"/>
  <c r="I296" i="3"/>
  <c r="G964" i="3"/>
  <c r="I245" i="3"/>
  <c r="I336" i="3"/>
  <c r="J224" i="3"/>
  <c r="J417" i="3"/>
  <c r="H900" i="3"/>
  <c r="J223" i="3" l="1"/>
  <c r="E4" i="4" s="1"/>
  <c r="I223" i="3"/>
  <c r="D4" i="4" s="1"/>
  <c r="G910" i="3"/>
  <c r="C12" i="1"/>
  <c r="D12" i="1" s="1"/>
  <c r="G905" i="3"/>
  <c r="G757" i="3"/>
  <c r="H964" i="3"/>
  <c r="C4" i="4" l="1"/>
  <c r="H910" i="3"/>
  <c r="I464" i="3"/>
  <c r="J464" i="3"/>
  <c r="I468" i="3"/>
  <c r="I439" i="3"/>
  <c r="I436" i="3"/>
  <c r="I438" i="3"/>
  <c r="J439" i="3"/>
  <c r="J468" i="3"/>
  <c r="J436" i="3"/>
  <c r="J438" i="3"/>
  <c r="I443" i="3"/>
  <c r="I437" i="3"/>
  <c r="I472" i="3"/>
  <c r="I442" i="3"/>
  <c r="J437" i="3"/>
  <c r="J472" i="3"/>
  <c r="J442" i="3"/>
  <c r="J443" i="3"/>
  <c r="I446" i="3"/>
  <c r="I447" i="3"/>
  <c r="I441" i="3"/>
  <c r="I476" i="3"/>
  <c r="J446" i="3"/>
  <c r="J441" i="3"/>
  <c r="J476" i="3"/>
  <c r="J447" i="3"/>
  <c r="I451" i="3"/>
  <c r="I480" i="3"/>
  <c r="I450" i="3"/>
  <c r="I445" i="3"/>
  <c r="J450" i="3"/>
  <c r="J445" i="3"/>
  <c r="J480" i="3"/>
  <c r="J451" i="3"/>
  <c r="I486" i="3"/>
  <c r="I449" i="3"/>
  <c r="I448" i="3" s="1"/>
  <c r="I454" i="3"/>
  <c r="I455" i="3"/>
  <c r="J449" i="3"/>
  <c r="J455" i="3"/>
  <c r="J486" i="3"/>
  <c r="J454" i="3"/>
  <c r="I458" i="3"/>
  <c r="I490" i="3"/>
  <c r="I453" i="3"/>
  <c r="I459" i="3"/>
  <c r="J458" i="3"/>
  <c r="J490" i="3"/>
  <c r="J453" i="3"/>
  <c r="J459" i="3"/>
  <c r="I494" i="3"/>
  <c r="I465" i="3"/>
  <c r="I462" i="3"/>
  <c r="I457" i="3"/>
  <c r="J462" i="3"/>
  <c r="J457" i="3"/>
  <c r="J494" i="3"/>
  <c r="J465" i="3"/>
  <c r="I463" i="3"/>
  <c r="I469" i="3"/>
  <c r="I498" i="3"/>
  <c r="I484" i="3"/>
  <c r="J484" i="3"/>
  <c r="J498" i="3"/>
  <c r="J469" i="3"/>
  <c r="J463" i="3"/>
  <c r="I502" i="3"/>
  <c r="I467" i="3"/>
  <c r="I466" i="3" s="1"/>
  <c r="I485" i="3"/>
  <c r="I473" i="3"/>
  <c r="J502" i="3"/>
  <c r="J485" i="3"/>
  <c r="J467" i="3"/>
  <c r="J466" i="3" s="1"/>
  <c r="J473" i="3"/>
  <c r="I477" i="3"/>
  <c r="I471" i="3"/>
  <c r="I489" i="3"/>
  <c r="I508" i="3"/>
  <c r="J477" i="3"/>
  <c r="J508" i="3"/>
  <c r="J471" i="3"/>
  <c r="J489" i="3"/>
  <c r="I481" i="3"/>
  <c r="I512" i="3"/>
  <c r="I475" i="3"/>
  <c r="I493" i="3"/>
  <c r="J475" i="3"/>
  <c r="J474" i="3" s="1"/>
  <c r="J481" i="3"/>
  <c r="J512" i="3"/>
  <c r="J493" i="3"/>
  <c r="I479" i="3"/>
  <c r="I497" i="3"/>
  <c r="I516" i="3"/>
  <c r="I487" i="3"/>
  <c r="J497" i="3"/>
  <c r="J516" i="3"/>
  <c r="J487" i="3"/>
  <c r="J479" i="3"/>
  <c r="J478" i="3" s="1"/>
  <c r="I491" i="3"/>
  <c r="I501" i="3"/>
  <c r="I520" i="3"/>
  <c r="I506" i="3"/>
  <c r="J501" i="3"/>
  <c r="J520" i="3"/>
  <c r="J506" i="3"/>
  <c r="J491" i="3"/>
  <c r="I495" i="3"/>
  <c r="I524" i="3"/>
  <c r="I527" i="3"/>
  <c r="I507" i="3"/>
  <c r="J507" i="3"/>
  <c r="J495" i="3"/>
  <c r="J524" i="3"/>
  <c r="J527" i="3"/>
  <c r="I499" i="3"/>
  <c r="I529" i="3"/>
  <c r="I528" i="3"/>
  <c r="I511" i="3"/>
  <c r="J511" i="3"/>
  <c r="J528" i="3"/>
  <c r="J529" i="3"/>
  <c r="J499" i="3"/>
  <c r="I503" i="3"/>
  <c r="I532" i="3"/>
  <c r="I531" i="3"/>
  <c r="I515" i="3"/>
  <c r="J531" i="3"/>
  <c r="J515" i="3"/>
  <c r="J532" i="3"/>
  <c r="J503" i="3"/>
  <c r="I535" i="3"/>
  <c r="I519" i="3"/>
  <c r="I509" i="3"/>
  <c r="I536" i="3"/>
  <c r="J509" i="3"/>
  <c r="J536" i="3"/>
  <c r="J519" i="3"/>
  <c r="J535" i="3"/>
  <c r="I513" i="3"/>
  <c r="I523" i="3"/>
  <c r="I522" i="3" s="1"/>
  <c r="I540" i="3"/>
  <c r="I539" i="3"/>
  <c r="J523" i="3"/>
  <c r="J522" i="3" s="1"/>
  <c r="J513" i="3"/>
  <c r="J540" i="3"/>
  <c r="J539" i="3"/>
  <c r="I544" i="3"/>
  <c r="I517" i="3"/>
  <c r="I577" i="3"/>
  <c r="I543" i="3"/>
  <c r="J543" i="3"/>
  <c r="J577" i="3"/>
  <c r="J544" i="3"/>
  <c r="J517" i="3"/>
  <c r="I521" i="3"/>
  <c r="I547" i="3"/>
  <c r="I582" i="3"/>
  <c r="I548" i="3"/>
  <c r="J547" i="3"/>
  <c r="J548" i="3"/>
  <c r="J582" i="3"/>
  <c r="J521" i="3"/>
  <c r="I551" i="3"/>
  <c r="I533" i="3"/>
  <c r="I587" i="3"/>
  <c r="I552" i="3"/>
  <c r="J552" i="3"/>
  <c r="J533" i="3"/>
  <c r="J551" i="3"/>
  <c r="J587" i="3"/>
  <c r="I555" i="3"/>
  <c r="I537" i="3"/>
  <c r="I592" i="3"/>
  <c r="I556" i="3"/>
  <c r="J537" i="3"/>
  <c r="J556" i="3"/>
  <c r="J555" i="3"/>
  <c r="J592" i="3"/>
  <c r="I598" i="3"/>
  <c r="I541" i="3"/>
  <c r="I559" i="3"/>
  <c r="I560" i="3"/>
  <c r="J541" i="3"/>
  <c r="J559" i="3"/>
  <c r="J560" i="3"/>
  <c r="J598" i="3"/>
  <c r="I602" i="3"/>
  <c r="I563" i="3"/>
  <c r="I545" i="3"/>
  <c r="I564" i="3"/>
  <c r="J602" i="3"/>
  <c r="J564" i="3"/>
  <c r="J563" i="3"/>
  <c r="J545" i="3"/>
  <c r="I568" i="3"/>
  <c r="I606" i="3"/>
  <c r="I567" i="3"/>
  <c r="I549" i="3"/>
  <c r="J567" i="3"/>
  <c r="J606" i="3"/>
  <c r="J549" i="3"/>
  <c r="J568" i="3"/>
  <c r="I611" i="3"/>
  <c r="I572" i="3"/>
  <c r="I574" i="3"/>
  <c r="I553" i="3"/>
  <c r="J574" i="3"/>
  <c r="J572" i="3"/>
  <c r="J553" i="3"/>
  <c r="J611" i="3"/>
  <c r="I573" i="3"/>
  <c r="I557" i="3"/>
  <c r="I579" i="3"/>
  <c r="I616" i="3"/>
  <c r="J557" i="3"/>
  <c r="J573" i="3"/>
  <c r="J579" i="3"/>
  <c r="J616" i="3"/>
  <c r="I584" i="3"/>
  <c r="I578" i="3"/>
  <c r="I561" i="3"/>
  <c r="J561" i="3"/>
  <c r="J584" i="3"/>
  <c r="J578" i="3"/>
  <c r="I589" i="3"/>
  <c r="I565" i="3"/>
  <c r="I583" i="3"/>
  <c r="J583" i="3"/>
  <c r="J589" i="3"/>
  <c r="J565" i="3"/>
  <c r="I594" i="3"/>
  <c r="I569" i="3"/>
  <c r="I588" i="3"/>
  <c r="J569" i="3"/>
  <c r="J594" i="3"/>
  <c r="J588" i="3"/>
  <c r="I599" i="3"/>
  <c r="I575" i="3"/>
  <c r="I593" i="3"/>
  <c r="J599" i="3"/>
  <c r="J575" i="3"/>
  <c r="J593" i="3"/>
  <c r="I603" i="3"/>
  <c r="I580" i="3"/>
  <c r="I612" i="3"/>
  <c r="J612" i="3"/>
  <c r="J580" i="3"/>
  <c r="J603" i="3"/>
  <c r="I617" i="3"/>
  <c r="I585" i="3"/>
  <c r="I607" i="3"/>
  <c r="J585" i="3"/>
  <c r="J607" i="3"/>
  <c r="J617" i="3"/>
  <c r="I590" i="3"/>
  <c r="I618" i="3"/>
  <c r="I613" i="3"/>
  <c r="J613" i="3"/>
  <c r="J590" i="3"/>
  <c r="J618" i="3"/>
  <c r="I595" i="3"/>
  <c r="J595" i="3"/>
  <c r="I600" i="3"/>
  <c r="J600" i="3"/>
  <c r="I604" i="3"/>
  <c r="J604" i="3"/>
  <c r="I608" i="3"/>
  <c r="J608" i="3"/>
  <c r="I614" i="3"/>
  <c r="J614" i="3"/>
  <c r="I619" i="3"/>
  <c r="J619" i="3"/>
  <c r="G968" i="3"/>
  <c r="H905" i="3"/>
  <c r="H757" i="3"/>
  <c r="I456" i="3" l="1"/>
  <c r="I444" i="3"/>
  <c r="I478" i="3"/>
  <c r="I615" i="3"/>
  <c r="I542" i="3"/>
  <c r="I538" i="3"/>
  <c r="I514" i="3"/>
  <c r="I510" i="3"/>
  <c r="I492" i="3"/>
  <c r="J597" i="3"/>
  <c r="J586" i="3"/>
  <c r="J538" i="3"/>
  <c r="J534" i="3"/>
  <c r="J526" i="3"/>
  <c r="J492" i="3"/>
  <c r="J610" i="3"/>
  <c r="I505" i="3"/>
  <c r="H968" i="3"/>
  <c r="I566" i="3"/>
  <c r="J562" i="3"/>
  <c r="I558" i="3"/>
  <c r="J554" i="3"/>
  <c r="I591" i="3"/>
  <c r="J550" i="3"/>
  <c r="I586" i="3"/>
  <c r="J581" i="3"/>
  <c r="I581" i="3"/>
  <c r="I576" i="3"/>
  <c r="J518" i="3"/>
  <c r="I530" i="3"/>
  <c r="I526" i="3"/>
  <c r="J505" i="3"/>
  <c r="I474" i="3"/>
  <c r="J470" i="3"/>
  <c r="I488" i="3"/>
  <c r="I461" i="3"/>
  <c r="J452" i="3"/>
  <c r="I452" i="3"/>
  <c r="I440" i="3"/>
  <c r="J435" i="3"/>
  <c r="I435" i="3"/>
  <c r="J615" i="3"/>
  <c r="I483" i="3"/>
  <c r="J571" i="3"/>
  <c r="I571" i="3"/>
  <c r="J605" i="3"/>
  <c r="I605" i="3"/>
  <c r="I562" i="3"/>
  <c r="J558" i="3"/>
  <c r="I546" i="3"/>
  <c r="J576" i="3"/>
  <c r="I518" i="3"/>
  <c r="J514" i="3"/>
  <c r="I500" i="3"/>
  <c r="I496" i="3"/>
  <c r="I470" i="3"/>
  <c r="J456" i="3"/>
  <c r="J444" i="3"/>
  <c r="J440" i="3"/>
  <c r="G914" i="3"/>
  <c r="G761" i="3"/>
  <c r="J591" i="3"/>
  <c r="J488" i="3"/>
  <c r="G909" i="3"/>
  <c r="I610" i="3"/>
  <c r="I609" i="3" s="1"/>
  <c r="J566" i="3"/>
  <c r="J601" i="3"/>
  <c r="I601" i="3"/>
  <c r="I597" i="3"/>
  <c r="I554" i="3"/>
  <c r="I550" i="3"/>
  <c r="J546" i="3"/>
  <c r="J542" i="3"/>
  <c r="I534" i="3"/>
  <c r="J530" i="3"/>
  <c r="J510" i="3"/>
  <c r="J500" i="3"/>
  <c r="J496" i="3"/>
  <c r="J483" i="3"/>
  <c r="J461" i="3"/>
  <c r="J448" i="3"/>
  <c r="J504" i="3" l="1"/>
  <c r="J596" i="3"/>
  <c r="J525" i="3"/>
  <c r="J460" i="3"/>
  <c r="I596" i="3"/>
  <c r="H914" i="3"/>
  <c r="J434" i="3"/>
  <c r="I482" i="3"/>
  <c r="I525" i="3"/>
  <c r="J570" i="3"/>
  <c r="J482" i="3"/>
  <c r="I460" i="3"/>
  <c r="I504" i="3"/>
  <c r="H909" i="3"/>
  <c r="H761" i="3"/>
  <c r="I570" i="3"/>
  <c r="I434" i="3"/>
  <c r="G972" i="3"/>
  <c r="J609" i="3"/>
  <c r="H972" i="3" l="1"/>
  <c r="I433" i="3"/>
  <c r="D5" i="4" s="1"/>
  <c r="G913" i="3"/>
  <c r="J433" i="3"/>
  <c r="G762" i="3"/>
  <c r="G918" i="3"/>
  <c r="E5" i="4" l="1"/>
  <c r="C5" i="4" s="1"/>
  <c r="C13" i="1"/>
  <c r="D13" i="1" s="1"/>
  <c r="H762" i="3"/>
  <c r="H913" i="3"/>
  <c r="H918" i="3"/>
  <c r="G976" i="3"/>
  <c r="I663" i="3" l="1"/>
  <c r="J625" i="3"/>
  <c r="J623" i="3"/>
  <c r="I625" i="3"/>
  <c r="I623" i="3"/>
  <c r="I645" i="3"/>
  <c r="H16" i="4" s="1"/>
  <c r="I624" i="3"/>
  <c r="J663" i="3"/>
  <c r="I680" i="3"/>
  <c r="I628" i="3"/>
  <c r="J645" i="3"/>
  <c r="J680" i="3"/>
  <c r="J628" i="3"/>
  <c r="I653" i="3"/>
  <c r="I678" i="3"/>
  <c r="J624" i="3"/>
  <c r="I627" i="3"/>
  <c r="I626" i="3" s="1"/>
  <c r="I631" i="3"/>
  <c r="I686" i="3"/>
  <c r="J653" i="3"/>
  <c r="J678" i="3"/>
  <c r="I668" i="3"/>
  <c r="J631" i="3"/>
  <c r="J686" i="3"/>
  <c r="J627" i="3"/>
  <c r="J626" i="3" s="1"/>
  <c r="I703" i="3"/>
  <c r="I634" i="3"/>
  <c r="I630" i="3"/>
  <c r="I629" i="3" s="1"/>
  <c r="J668" i="3"/>
  <c r="I691" i="3"/>
  <c r="J703" i="3"/>
  <c r="J634" i="3"/>
  <c r="J691" i="3"/>
  <c r="I676" i="3"/>
  <c r="I738" i="3"/>
  <c r="J630" i="3"/>
  <c r="J676" i="3"/>
  <c r="I637" i="3"/>
  <c r="J738" i="3"/>
  <c r="I696" i="3"/>
  <c r="I633" i="3"/>
  <c r="I632" i="3" s="1"/>
  <c r="J633" i="3"/>
  <c r="J696" i="3"/>
  <c r="I685" i="3"/>
  <c r="I747" i="3"/>
  <c r="J637" i="3"/>
  <c r="I636" i="3"/>
  <c r="I701" i="3"/>
  <c r="I641" i="3"/>
  <c r="J747" i="3"/>
  <c r="J685" i="3"/>
  <c r="J641" i="3"/>
  <c r="I767" i="3"/>
  <c r="J636" i="3"/>
  <c r="J635" i="3" s="1"/>
  <c r="I700" i="3"/>
  <c r="J701" i="3"/>
  <c r="J767" i="3"/>
  <c r="I639" i="3"/>
  <c r="J700" i="3"/>
  <c r="I705" i="3"/>
  <c r="I649" i="3"/>
  <c r="J649" i="3"/>
  <c r="J705" i="3"/>
  <c r="I772" i="3"/>
  <c r="I715" i="3"/>
  <c r="J639" i="3"/>
  <c r="I657" i="3"/>
  <c r="I711" i="3"/>
  <c r="J715" i="3"/>
  <c r="J772" i="3"/>
  <c r="I640" i="3"/>
  <c r="I720" i="3"/>
  <c r="I777" i="3"/>
  <c r="J640" i="3"/>
  <c r="J711" i="3"/>
  <c r="J657" i="3"/>
  <c r="I661" i="3"/>
  <c r="J720" i="3"/>
  <c r="J777" i="3"/>
  <c r="I643" i="3"/>
  <c r="I716" i="3"/>
  <c r="J716" i="3"/>
  <c r="I744" i="3"/>
  <c r="I782" i="3"/>
  <c r="J661" i="3"/>
  <c r="J643" i="3"/>
  <c r="J744" i="3"/>
  <c r="I644" i="3"/>
  <c r="I664" i="3"/>
  <c r="I721" i="3"/>
  <c r="J782" i="3"/>
  <c r="I787" i="3"/>
  <c r="I763" i="3"/>
  <c r="J721" i="3"/>
  <c r="J664" i="3"/>
  <c r="J644" i="3"/>
  <c r="I647" i="3"/>
  <c r="J763" i="3"/>
  <c r="I726" i="3"/>
  <c r="J787" i="3"/>
  <c r="I672" i="3"/>
  <c r="I778" i="3"/>
  <c r="J726" i="3"/>
  <c r="J647" i="3"/>
  <c r="I792" i="3"/>
  <c r="J672" i="3"/>
  <c r="I648" i="3"/>
  <c r="I679" i="3"/>
  <c r="I731" i="3"/>
  <c r="J792" i="3"/>
  <c r="J778" i="3"/>
  <c r="J731" i="3"/>
  <c r="J648" i="3"/>
  <c r="I797" i="3"/>
  <c r="J679" i="3"/>
  <c r="I783" i="3"/>
  <c r="J783" i="3"/>
  <c r="J797" i="3"/>
  <c r="I651" i="3"/>
  <c r="I736" i="3"/>
  <c r="I690" i="3"/>
  <c r="J690" i="3"/>
  <c r="J736" i="3"/>
  <c r="I802" i="3"/>
  <c r="J651" i="3"/>
  <c r="I803" i="3"/>
  <c r="I695" i="3"/>
  <c r="I652" i="3"/>
  <c r="J803" i="3"/>
  <c r="J802" i="3"/>
  <c r="I740" i="3"/>
  <c r="J740" i="3"/>
  <c r="J695" i="3"/>
  <c r="I807" i="3"/>
  <c r="J652" i="3"/>
  <c r="I655" i="3"/>
  <c r="J807" i="3"/>
  <c r="I704" i="3"/>
  <c r="I745" i="3"/>
  <c r="J704" i="3"/>
  <c r="J655" i="3"/>
  <c r="J745" i="3"/>
  <c r="I812" i="3"/>
  <c r="I656" i="3"/>
  <c r="I749" i="3"/>
  <c r="I710" i="3"/>
  <c r="J812" i="3"/>
  <c r="J710" i="3"/>
  <c r="I816" i="3"/>
  <c r="J749" i="3"/>
  <c r="J656" i="3"/>
  <c r="I659" i="3"/>
  <c r="J816" i="3"/>
  <c r="I753" i="3"/>
  <c r="I725" i="3"/>
  <c r="J753" i="3"/>
  <c r="J725" i="3"/>
  <c r="I821" i="3"/>
  <c r="J659" i="3"/>
  <c r="I730" i="3"/>
  <c r="I759" i="3"/>
  <c r="J821" i="3"/>
  <c r="I660" i="3"/>
  <c r="J730" i="3"/>
  <c r="I825" i="3"/>
  <c r="J660" i="3"/>
  <c r="J759" i="3"/>
  <c r="I666" i="3"/>
  <c r="I764" i="3"/>
  <c r="J825" i="3"/>
  <c r="I735" i="3"/>
  <c r="I830" i="3"/>
  <c r="J666" i="3"/>
  <c r="J735" i="3"/>
  <c r="J764" i="3"/>
  <c r="I769" i="3"/>
  <c r="I739" i="3"/>
  <c r="J830" i="3"/>
  <c r="I667" i="3"/>
  <c r="I836" i="3"/>
  <c r="J769" i="3"/>
  <c r="J667" i="3"/>
  <c r="J739" i="3"/>
  <c r="I774" i="3"/>
  <c r="J836" i="3"/>
  <c r="I670" i="3"/>
  <c r="I748" i="3"/>
  <c r="J774" i="3"/>
  <c r="I841" i="3"/>
  <c r="J748" i="3"/>
  <c r="J670" i="3"/>
  <c r="I779" i="3"/>
  <c r="J841" i="3"/>
  <c r="I671" i="3"/>
  <c r="I752" i="3"/>
  <c r="I846" i="3"/>
  <c r="J752" i="3"/>
  <c r="J671" i="3"/>
  <c r="J779" i="3"/>
  <c r="J846" i="3"/>
  <c r="I758" i="3"/>
  <c r="I674" i="3"/>
  <c r="I784" i="3"/>
  <c r="I851" i="3"/>
  <c r="J674" i="3"/>
  <c r="J758" i="3"/>
  <c r="J784" i="3"/>
  <c r="I768" i="3"/>
  <c r="J851" i="3"/>
  <c r="I675" i="3"/>
  <c r="I789" i="3"/>
  <c r="J789" i="3"/>
  <c r="I856" i="3"/>
  <c r="J768" i="3"/>
  <c r="J675" i="3"/>
  <c r="J856" i="3"/>
  <c r="I683" i="3"/>
  <c r="I773" i="3"/>
  <c r="I794" i="3"/>
  <c r="I861" i="3"/>
  <c r="J773" i="3"/>
  <c r="J683" i="3"/>
  <c r="J794" i="3"/>
  <c r="I788" i="3"/>
  <c r="I684" i="3"/>
  <c r="I799" i="3"/>
  <c r="J861" i="3"/>
  <c r="J684" i="3"/>
  <c r="J799" i="3"/>
  <c r="J788" i="3"/>
  <c r="I865" i="3"/>
  <c r="J865" i="3"/>
  <c r="I688" i="3"/>
  <c r="I804" i="3"/>
  <c r="I793" i="3"/>
  <c r="J793" i="3"/>
  <c r="J688" i="3"/>
  <c r="I869" i="3"/>
  <c r="J804" i="3"/>
  <c r="I809" i="3"/>
  <c r="I798" i="3"/>
  <c r="J869" i="3"/>
  <c r="I689" i="3"/>
  <c r="J809" i="3"/>
  <c r="J798" i="3"/>
  <c r="J689" i="3"/>
  <c r="I875" i="3"/>
  <c r="I808" i="3"/>
  <c r="I693" i="3"/>
  <c r="I814" i="3"/>
  <c r="J875" i="3"/>
  <c r="I880" i="3"/>
  <c r="J808" i="3"/>
  <c r="J814" i="3"/>
  <c r="J693" i="3"/>
  <c r="I694" i="3"/>
  <c r="I818" i="3"/>
  <c r="I813" i="3"/>
  <c r="J880" i="3"/>
  <c r="J694" i="3"/>
  <c r="J813" i="3"/>
  <c r="J818" i="3"/>
  <c r="I885" i="3"/>
  <c r="I823" i="3"/>
  <c r="J885" i="3"/>
  <c r="I817" i="3"/>
  <c r="I698" i="3"/>
  <c r="J823" i="3"/>
  <c r="J698" i="3"/>
  <c r="I890" i="3"/>
  <c r="J817" i="3"/>
  <c r="I699" i="3"/>
  <c r="I827" i="3"/>
  <c r="J890" i="3"/>
  <c r="I822" i="3"/>
  <c r="J822" i="3"/>
  <c r="I894" i="3"/>
  <c r="J699" i="3"/>
  <c r="J827" i="3"/>
  <c r="I826" i="3"/>
  <c r="I832" i="3"/>
  <c r="I708" i="3"/>
  <c r="J894" i="3"/>
  <c r="J826" i="3"/>
  <c r="I899" i="3"/>
  <c r="J708" i="3"/>
  <c r="J832" i="3"/>
  <c r="I831" i="3"/>
  <c r="J899" i="3"/>
  <c r="I838" i="3"/>
  <c r="I709" i="3"/>
  <c r="J709" i="3"/>
  <c r="J838" i="3"/>
  <c r="I904" i="3"/>
  <c r="J831" i="3"/>
  <c r="I843" i="3"/>
  <c r="I837" i="3"/>
  <c r="J904" i="3"/>
  <c r="I713" i="3"/>
  <c r="J837" i="3"/>
  <c r="J843" i="3"/>
  <c r="J713" i="3"/>
  <c r="I908" i="3"/>
  <c r="I848" i="3"/>
  <c r="I714" i="3"/>
  <c r="J908" i="3"/>
  <c r="I842" i="3"/>
  <c r="J848" i="3"/>
  <c r="J842" i="3"/>
  <c r="J714" i="3"/>
  <c r="I912" i="3"/>
  <c r="I718" i="3"/>
  <c r="I853" i="3"/>
  <c r="I847" i="3"/>
  <c r="J912" i="3"/>
  <c r="J853" i="3"/>
  <c r="J718" i="3"/>
  <c r="I916" i="3"/>
  <c r="J847" i="3"/>
  <c r="I852" i="3"/>
  <c r="I858" i="3"/>
  <c r="I719" i="3"/>
  <c r="J916" i="3"/>
  <c r="J719" i="3"/>
  <c r="I920" i="3"/>
  <c r="J858" i="3"/>
  <c r="J852" i="3"/>
  <c r="I723" i="3"/>
  <c r="I857" i="3"/>
  <c r="I863" i="3"/>
  <c r="J920" i="3"/>
  <c r="I924" i="3"/>
  <c r="J857" i="3"/>
  <c r="J723" i="3"/>
  <c r="J863" i="3"/>
  <c r="I724" i="3"/>
  <c r="I862" i="3"/>
  <c r="I867" i="3"/>
  <c r="J924" i="3"/>
  <c r="J862" i="3"/>
  <c r="J867" i="3"/>
  <c r="J724" i="3"/>
  <c r="I928" i="3"/>
  <c r="I728" i="3"/>
  <c r="I866" i="3"/>
  <c r="J928" i="3"/>
  <c r="I871" i="3"/>
  <c r="J871" i="3"/>
  <c r="I933" i="3"/>
  <c r="J866" i="3"/>
  <c r="J728" i="3"/>
  <c r="I877" i="3"/>
  <c r="I729" i="3"/>
  <c r="J933" i="3"/>
  <c r="I870" i="3"/>
  <c r="J877" i="3"/>
  <c r="J870" i="3"/>
  <c r="I937" i="3"/>
  <c r="J729" i="3"/>
  <c r="I882" i="3"/>
  <c r="I876" i="3"/>
  <c r="J937" i="3"/>
  <c r="I733" i="3"/>
  <c r="J882" i="3"/>
  <c r="J733" i="3"/>
  <c r="I942" i="3"/>
  <c r="J876" i="3"/>
  <c r="I881" i="3"/>
  <c r="J942" i="3"/>
  <c r="I734" i="3"/>
  <c r="I887" i="3"/>
  <c r="I948" i="3"/>
  <c r="J734" i="3"/>
  <c r="J881" i="3"/>
  <c r="J887" i="3"/>
  <c r="I892" i="3"/>
  <c r="I742" i="3"/>
  <c r="J948" i="3"/>
  <c r="I886" i="3"/>
  <c r="I952" i="3"/>
  <c r="J892" i="3"/>
  <c r="J742" i="3"/>
  <c r="J886" i="3"/>
  <c r="I896" i="3"/>
  <c r="I891" i="3"/>
  <c r="I743" i="3"/>
  <c r="J952" i="3"/>
  <c r="I956" i="3"/>
  <c r="J891" i="3"/>
  <c r="J743" i="3"/>
  <c r="J896" i="3"/>
  <c r="I751" i="3"/>
  <c r="I750" i="3" s="1"/>
  <c r="I895" i="3"/>
  <c r="J956" i="3"/>
  <c r="I901" i="3"/>
  <c r="J751" i="3"/>
  <c r="J750" i="3" s="1"/>
  <c r="I960" i="3"/>
  <c r="J895" i="3"/>
  <c r="J901" i="3"/>
  <c r="I756" i="3"/>
  <c r="J960" i="3"/>
  <c r="I900" i="3"/>
  <c r="I906" i="3"/>
  <c r="J756" i="3"/>
  <c r="I964" i="3"/>
  <c r="J900" i="3"/>
  <c r="J906" i="3"/>
  <c r="I910" i="3"/>
  <c r="J964" i="3"/>
  <c r="I905" i="3"/>
  <c r="I757" i="3"/>
  <c r="J910" i="3"/>
  <c r="I968" i="3"/>
  <c r="J757" i="3"/>
  <c r="J905" i="3"/>
  <c r="J968" i="3"/>
  <c r="I761" i="3"/>
  <c r="I914" i="3"/>
  <c r="I909" i="3"/>
  <c r="J909" i="3"/>
  <c r="J914" i="3"/>
  <c r="J761" i="3"/>
  <c r="I972" i="3"/>
  <c r="I762" i="3"/>
  <c r="J972" i="3"/>
  <c r="I918" i="3"/>
  <c r="I913" i="3"/>
  <c r="I976" i="3"/>
  <c r="H976" i="3"/>
  <c r="G917" i="3"/>
  <c r="J913" i="3"/>
  <c r="G922" i="3"/>
  <c r="J918" i="3"/>
  <c r="G766" i="3"/>
  <c r="J762" i="3"/>
  <c r="J629" i="3" l="1"/>
  <c r="J632" i="3"/>
  <c r="I635" i="3"/>
  <c r="J755" i="3"/>
  <c r="I755" i="3"/>
  <c r="I727" i="3"/>
  <c r="I722" i="3"/>
  <c r="I717" i="3"/>
  <c r="J864" i="3"/>
  <c r="I665" i="3"/>
  <c r="I658" i="3"/>
  <c r="I654" i="3"/>
  <c r="J646" i="3"/>
  <c r="I642" i="3"/>
  <c r="J662" i="3"/>
  <c r="H922" i="3"/>
  <c r="I922" i="3"/>
  <c r="I766" i="3"/>
  <c r="I765" i="3" s="1"/>
  <c r="H766" i="3"/>
  <c r="I917" i="3"/>
  <c r="I915" i="3" s="1"/>
  <c r="H917" i="3"/>
  <c r="I732" i="3"/>
  <c r="J727" i="3"/>
  <c r="J911" i="3"/>
  <c r="I911" i="3"/>
  <c r="I907" i="3"/>
  <c r="I712" i="3"/>
  <c r="J893" i="3"/>
  <c r="I697" i="3"/>
  <c r="J692" i="3"/>
  <c r="I864" i="3"/>
  <c r="J669" i="3"/>
  <c r="J658" i="3"/>
  <c r="I650" i="3"/>
  <c r="J737" i="3"/>
  <c r="I737" i="3"/>
  <c r="J702" i="3"/>
  <c r="I677" i="3"/>
  <c r="J622" i="3"/>
  <c r="J976" i="3"/>
  <c r="G980" i="3"/>
  <c r="J760" i="3"/>
  <c r="J741" i="3"/>
  <c r="J722" i="3"/>
  <c r="J907" i="3"/>
  <c r="J712" i="3"/>
  <c r="J903" i="3"/>
  <c r="I903" i="3"/>
  <c r="J707" i="3"/>
  <c r="I707" i="3"/>
  <c r="J868" i="3"/>
  <c r="I868" i="3"/>
  <c r="J682" i="3"/>
  <c r="I673" i="3"/>
  <c r="I669" i="3"/>
  <c r="J824" i="3"/>
  <c r="J642" i="3"/>
  <c r="J638" i="3"/>
  <c r="I638" i="3"/>
  <c r="J746" i="3"/>
  <c r="I702" i="3"/>
  <c r="I760" i="3"/>
  <c r="I741" i="3"/>
  <c r="J732" i="3"/>
  <c r="J717" i="3"/>
  <c r="I893" i="3"/>
  <c r="J697" i="3"/>
  <c r="I692" i="3"/>
  <c r="J687" i="3"/>
  <c r="I687" i="3"/>
  <c r="I682" i="3"/>
  <c r="J673" i="3"/>
  <c r="J665" i="3"/>
  <c r="I824" i="3"/>
  <c r="J815" i="3"/>
  <c r="I815" i="3"/>
  <c r="J654" i="3"/>
  <c r="J650" i="3"/>
  <c r="I646" i="3"/>
  <c r="I746" i="3"/>
  <c r="J677" i="3"/>
  <c r="I622" i="3"/>
  <c r="I662" i="3"/>
  <c r="I706" i="3" l="1"/>
  <c r="J681" i="3"/>
  <c r="I980" i="3"/>
  <c r="H980" i="3"/>
  <c r="J706" i="3"/>
  <c r="G921" i="3"/>
  <c r="J917" i="3"/>
  <c r="J915" i="3" s="1"/>
  <c r="I681" i="3"/>
  <c r="G926" i="3"/>
  <c r="J922" i="3"/>
  <c r="I621" i="3"/>
  <c r="J621" i="3"/>
  <c r="G771" i="3"/>
  <c r="J766" i="3"/>
  <c r="J765" i="3" s="1"/>
  <c r="H771" i="3" l="1"/>
  <c r="I771" i="3"/>
  <c r="I770" i="3" s="1"/>
  <c r="G984" i="3"/>
  <c r="J980" i="3"/>
  <c r="I926" i="3"/>
  <c r="H926" i="3"/>
  <c r="H921" i="3"/>
  <c r="I921" i="3"/>
  <c r="I919" i="3" s="1"/>
  <c r="G776" i="3" l="1"/>
  <c r="J771" i="3"/>
  <c r="J770" i="3" s="1"/>
  <c r="G925" i="3"/>
  <c r="J921" i="3"/>
  <c r="J919" i="3" s="1"/>
  <c r="G930" i="3"/>
  <c r="J926" i="3"/>
  <c r="I984" i="3"/>
  <c r="H984" i="3"/>
  <c r="G988" i="3" l="1"/>
  <c r="J984" i="3"/>
  <c r="I925" i="3"/>
  <c r="I923" i="3" s="1"/>
  <c r="H925" i="3"/>
  <c r="H930" i="3"/>
  <c r="I930" i="3"/>
  <c r="I776" i="3"/>
  <c r="I775" i="3" s="1"/>
  <c r="H776" i="3"/>
  <c r="G781" i="3" l="1"/>
  <c r="J776" i="3"/>
  <c r="J775" i="3" s="1"/>
  <c r="G929" i="3"/>
  <c r="J925" i="3"/>
  <c r="J923" i="3" s="1"/>
  <c r="G935" i="3"/>
  <c r="J930" i="3"/>
  <c r="H988" i="3"/>
  <c r="I988" i="3"/>
  <c r="H929" i="3" l="1"/>
  <c r="I929" i="3"/>
  <c r="I927" i="3" s="1"/>
  <c r="G992" i="3"/>
  <c r="J988" i="3"/>
  <c r="I935" i="3"/>
  <c r="H935" i="3"/>
  <c r="I781" i="3"/>
  <c r="I780" i="3" s="1"/>
  <c r="H781" i="3"/>
  <c r="I992" i="3" l="1"/>
  <c r="H992" i="3"/>
  <c r="G786" i="3"/>
  <c r="J781" i="3"/>
  <c r="J780" i="3" s="1"/>
  <c r="G939" i="3"/>
  <c r="J935" i="3"/>
  <c r="G934" i="3"/>
  <c r="J929" i="3"/>
  <c r="J927" i="3" s="1"/>
  <c r="I934" i="3" l="1"/>
  <c r="H934" i="3"/>
  <c r="I786" i="3"/>
  <c r="I785" i="3" s="1"/>
  <c r="H786" i="3"/>
  <c r="J992" i="3"/>
  <c r="G996" i="3"/>
  <c r="H939" i="3"/>
  <c r="I939" i="3"/>
  <c r="G791" i="3" l="1"/>
  <c r="J786" i="3"/>
  <c r="J785" i="3" s="1"/>
  <c r="G944" i="3"/>
  <c r="J939" i="3"/>
  <c r="I996" i="3"/>
  <c r="H996" i="3"/>
  <c r="G938" i="3"/>
  <c r="J934" i="3"/>
  <c r="H938" i="3" l="1"/>
  <c r="I938" i="3"/>
  <c r="I936" i="3" s="1"/>
  <c r="I944" i="3"/>
  <c r="H944" i="3"/>
  <c r="J944" i="3" s="1"/>
  <c r="G1000" i="3"/>
  <c r="J996" i="3"/>
  <c r="H791" i="3"/>
  <c r="I791" i="3"/>
  <c r="I790" i="3" s="1"/>
  <c r="G796" i="3" l="1"/>
  <c r="J791" i="3"/>
  <c r="J790" i="3" s="1"/>
  <c r="I1000" i="3"/>
  <c r="H1000" i="3"/>
  <c r="G943" i="3"/>
  <c r="J938" i="3"/>
  <c r="J936" i="3" s="1"/>
  <c r="I943" i="3" l="1"/>
  <c r="H943" i="3"/>
  <c r="I796" i="3"/>
  <c r="I795" i="3" s="1"/>
  <c r="H796" i="3"/>
  <c r="G1004" i="3"/>
  <c r="J1000" i="3"/>
  <c r="H1004" i="3" l="1"/>
  <c r="I1004" i="3"/>
  <c r="G801" i="3"/>
  <c r="J796" i="3"/>
  <c r="J795" i="3" s="1"/>
  <c r="G949" i="3"/>
  <c r="J943" i="3"/>
  <c r="H801" i="3" l="1"/>
  <c r="I801" i="3"/>
  <c r="I800" i="3" s="1"/>
  <c r="I949" i="3"/>
  <c r="H949" i="3"/>
  <c r="G1008" i="3"/>
  <c r="J1004" i="3"/>
  <c r="G953" i="3" l="1"/>
  <c r="J949" i="3"/>
  <c r="I1008" i="3"/>
  <c r="H1008" i="3"/>
  <c r="J1008" i="3" s="1"/>
  <c r="G806" i="3"/>
  <c r="J801" i="3"/>
  <c r="J800" i="3" s="1"/>
  <c r="I806" i="3" l="1"/>
  <c r="I805" i="3" s="1"/>
  <c r="H806" i="3"/>
  <c r="H953" i="3"/>
  <c r="I953" i="3"/>
  <c r="G957" i="3" l="1"/>
  <c r="J953" i="3"/>
  <c r="G811" i="3"/>
  <c r="J806" i="3"/>
  <c r="J805" i="3" s="1"/>
  <c r="H811" i="3" l="1"/>
  <c r="I811" i="3"/>
  <c r="I810" i="3" s="1"/>
  <c r="I957" i="3"/>
  <c r="H957" i="3"/>
  <c r="G961" i="3" l="1"/>
  <c r="J957" i="3"/>
  <c r="J811" i="3"/>
  <c r="J810" i="3" s="1"/>
  <c r="G820" i="3"/>
  <c r="H820" i="3" l="1"/>
  <c r="I820" i="3"/>
  <c r="I819" i="3" s="1"/>
  <c r="H961" i="3"/>
  <c r="I961" i="3"/>
  <c r="J961" i="3" l="1"/>
  <c r="G965" i="3"/>
  <c r="J820" i="3"/>
  <c r="J819" i="3" s="1"/>
  <c r="G829" i="3"/>
  <c r="H829" i="3" l="1"/>
  <c r="I829" i="3"/>
  <c r="H965" i="3"/>
  <c r="I965" i="3"/>
  <c r="G969" i="3" l="1"/>
  <c r="J965" i="3"/>
  <c r="I828" i="3"/>
  <c r="I754" i="3"/>
  <c r="J829" i="3"/>
  <c r="G835" i="3"/>
  <c r="H835" i="3" l="1"/>
  <c r="I835" i="3"/>
  <c r="I834" i="3" s="1"/>
  <c r="J828" i="3"/>
  <c r="J754" i="3"/>
  <c r="I969" i="3"/>
  <c r="H969" i="3"/>
  <c r="G973" i="3" l="1"/>
  <c r="J969" i="3"/>
  <c r="G840" i="3"/>
  <c r="J835" i="3"/>
  <c r="J834" i="3" s="1"/>
  <c r="I840" i="3" l="1"/>
  <c r="I839" i="3" s="1"/>
  <c r="H840" i="3"/>
  <c r="H973" i="3"/>
  <c r="I973" i="3"/>
  <c r="G977" i="3" l="1"/>
  <c r="J973" i="3"/>
  <c r="G845" i="3"/>
  <c r="J840" i="3"/>
  <c r="J839" i="3" s="1"/>
  <c r="H845" i="3" l="1"/>
  <c r="I845" i="3"/>
  <c r="I844" i="3" s="1"/>
  <c r="I977" i="3"/>
  <c r="H977" i="3"/>
  <c r="G850" i="3" l="1"/>
  <c r="J845" i="3"/>
  <c r="J844" i="3" s="1"/>
  <c r="G981" i="3"/>
  <c r="J977" i="3"/>
  <c r="I981" i="3" l="1"/>
  <c r="H981" i="3"/>
  <c r="I850" i="3"/>
  <c r="I849" i="3" s="1"/>
  <c r="H850" i="3"/>
  <c r="J850" i="3" l="1"/>
  <c r="J849" i="3" s="1"/>
  <c r="G855" i="3"/>
  <c r="G985" i="3"/>
  <c r="J981" i="3"/>
  <c r="I985" i="3" l="1"/>
  <c r="H985" i="3"/>
  <c r="H855" i="3"/>
  <c r="I855" i="3"/>
  <c r="I854" i="3" s="1"/>
  <c r="G860" i="3" l="1"/>
  <c r="J855" i="3"/>
  <c r="J854" i="3" s="1"/>
  <c r="G989" i="3"/>
  <c r="J985" i="3"/>
  <c r="H989" i="3" l="1"/>
  <c r="I989" i="3"/>
  <c r="I860" i="3"/>
  <c r="H860" i="3"/>
  <c r="G874" i="3" l="1"/>
  <c r="J860" i="3"/>
  <c r="I859" i="3"/>
  <c r="I833" i="3"/>
  <c r="G993" i="3"/>
  <c r="J989" i="3"/>
  <c r="J859" i="3" l="1"/>
  <c r="J833" i="3" s="1"/>
  <c r="I993" i="3"/>
  <c r="H993" i="3"/>
  <c r="I874" i="3"/>
  <c r="I873" i="3" s="1"/>
  <c r="H874" i="3"/>
  <c r="G879" i="3" l="1"/>
  <c r="J874" i="3"/>
  <c r="J873" i="3" s="1"/>
  <c r="G997" i="3"/>
  <c r="J993" i="3"/>
  <c r="I997" i="3" l="1"/>
  <c r="H997" i="3"/>
  <c r="H879" i="3"/>
  <c r="I879" i="3"/>
  <c r="I878" i="3" s="1"/>
  <c r="G884" i="3" l="1"/>
  <c r="J879" i="3"/>
  <c r="J878" i="3" s="1"/>
  <c r="G1001" i="3"/>
  <c r="J997" i="3"/>
  <c r="I1001" i="3" l="1"/>
  <c r="H1001" i="3"/>
  <c r="I884" i="3"/>
  <c r="I883" i="3" s="1"/>
  <c r="H884" i="3"/>
  <c r="G1005" i="3" l="1"/>
  <c r="J1001" i="3"/>
  <c r="G889" i="3"/>
  <c r="J884" i="3"/>
  <c r="J883" i="3" s="1"/>
  <c r="H889" i="3" l="1"/>
  <c r="I889" i="3"/>
  <c r="I888" i="3" s="1"/>
  <c r="H1005" i="3"/>
  <c r="I1005" i="3"/>
  <c r="G1009" i="3" l="1"/>
  <c r="J1005" i="3"/>
  <c r="J889" i="3"/>
  <c r="J888" i="3" s="1"/>
  <c r="G898" i="3"/>
  <c r="H898" i="3" l="1"/>
  <c r="I898" i="3"/>
  <c r="I1009" i="3"/>
  <c r="H1009" i="3"/>
  <c r="J1009" i="3" s="1"/>
  <c r="I897" i="3" l="1"/>
  <c r="I872" i="3" s="1"/>
  <c r="G932" i="3"/>
  <c r="J898" i="3"/>
  <c r="J897" i="3" l="1"/>
  <c r="J872" i="3" s="1"/>
  <c r="I932" i="3"/>
  <c r="I931" i="3" s="1"/>
  <c r="H932" i="3"/>
  <c r="G941" i="3" l="1"/>
  <c r="J932" i="3"/>
  <c r="J931" i="3" s="1"/>
  <c r="I941" i="3" l="1"/>
  <c r="I940" i="3" s="1"/>
  <c r="I902" i="3" s="1"/>
  <c r="H941" i="3"/>
  <c r="G947" i="3" l="1"/>
  <c r="J941" i="3"/>
  <c r="J940" i="3" s="1"/>
  <c r="J902" i="3" s="1"/>
  <c r="I947" i="3" l="1"/>
  <c r="I946" i="3" s="1"/>
  <c r="H947" i="3"/>
  <c r="G951" i="3" l="1"/>
  <c r="J947" i="3"/>
  <c r="J946" i="3" s="1"/>
  <c r="H951" i="3" l="1"/>
  <c r="I951" i="3"/>
  <c r="I950" i="3" s="1"/>
  <c r="G955" i="3" l="1"/>
  <c r="J951" i="3"/>
  <c r="J950" i="3" s="1"/>
  <c r="I955" i="3" l="1"/>
  <c r="I954" i="3" s="1"/>
  <c r="H955" i="3"/>
  <c r="G959" i="3" l="1"/>
  <c r="J955" i="3"/>
  <c r="J954" i="3" s="1"/>
  <c r="H959" i="3" l="1"/>
  <c r="I959" i="3"/>
  <c r="I958" i="3" s="1"/>
  <c r="J959" i="3" l="1"/>
  <c r="J958" i="3" s="1"/>
  <c r="G963" i="3"/>
  <c r="H963" i="3" l="1"/>
  <c r="I963" i="3"/>
  <c r="I962" i="3" s="1"/>
  <c r="G967" i="3" l="1"/>
  <c r="J963" i="3"/>
  <c r="J962" i="3" s="1"/>
  <c r="I967" i="3" l="1"/>
  <c r="I966" i="3" s="1"/>
  <c r="H967" i="3"/>
  <c r="G971" i="3" l="1"/>
  <c r="J967" i="3"/>
  <c r="J966" i="3" s="1"/>
  <c r="H971" i="3" l="1"/>
  <c r="I971" i="3"/>
  <c r="I970" i="3" s="1"/>
  <c r="G975" i="3" l="1"/>
  <c r="J971" i="3"/>
  <c r="J970" i="3" s="1"/>
  <c r="I975" i="3" l="1"/>
  <c r="I974" i="3" s="1"/>
  <c r="H975" i="3"/>
  <c r="G979" i="3" l="1"/>
  <c r="J975" i="3"/>
  <c r="J974" i="3" s="1"/>
  <c r="I979" i="3" l="1"/>
  <c r="I978" i="3" s="1"/>
  <c r="H979" i="3"/>
  <c r="G983" i="3" l="1"/>
  <c r="J979" i="3"/>
  <c r="J978" i="3" s="1"/>
  <c r="I983" i="3" l="1"/>
  <c r="I982" i="3" s="1"/>
  <c r="H983" i="3"/>
  <c r="G987" i="3" l="1"/>
  <c r="J983" i="3"/>
  <c r="J982" i="3" s="1"/>
  <c r="H987" i="3" l="1"/>
  <c r="I987" i="3"/>
  <c r="I986" i="3" s="1"/>
  <c r="G991" i="3" l="1"/>
  <c r="J987" i="3"/>
  <c r="J986" i="3" s="1"/>
  <c r="I991" i="3" l="1"/>
  <c r="I990" i="3" s="1"/>
  <c r="H991" i="3"/>
  <c r="G995" i="3" l="1"/>
  <c r="J991" i="3"/>
  <c r="J990" i="3" s="1"/>
  <c r="I995" i="3" l="1"/>
  <c r="I994" i="3" s="1"/>
  <c r="H995" i="3"/>
  <c r="G999" i="3" l="1"/>
  <c r="J995" i="3"/>
  <c r="J994" i="3" s="1"/>
  <c r="I999" i="3" l="1"/>
  <c r="I998" i="3" s="1"/>
  <c r="H999" i="3"/>
  <c r="G1003" i="3" l="1"/>
  <c r="J999" i="3"/>
  <c r="J998" i="3" s="1"/>
  <c r="H1003" i="3" l="1"/>
  <c r="I1003" i="3"/>
  <c r="I1002" i="3" s="1"/>
  <c r="G1007" i="3" l="1"/>
  <c r="J1003" i="3"/>
  <c r="J1002" i="3" s="1"/>
  <c r="I1007" i="3" l="1"/>
  <c r="H1007" i="3"/>
  <c r="J1007" i="3" s="1"/>
  <c r="J1006" i="3" l="1"/>
  <c r="J620" i="3"/>
  <c r="J945" i="3"/>
  <c r="I1006" i="3"/>
  <c r="I945" i="3" s="1"/>
  <c r="I620" i="3" s="1"/>
  <c r="D6" i="4" s="1"/>
  <c r="E6" i="4" l="1"/>
  <c r="C6" i="4" s="1"/>
  <c r="C14" i="1"/>
  <c r="D14" i="1" s="1"/>
  <c r="J1123" i="3" l="1"/>
  <c r="I1033" i="3"/>
  <c r="I1014" i="3"/>
  <c r="I1019" i="3"/>
  <c r="I1015" i="3"/>
  <c r="J1015" i="3" s="1"/>
  <c r="I1013" i="3"/>
  <c r="J1014" i="3"/>
  <c r="J1013" i="3"/>
  <c r="I1128" i="3"/>
  <c r="J1033" i="3"/>
  <c r="J1019" i="3"/>
  <c r="I1123" i="3"/>
  <c r="I1018" i="3"/>
  <c r="I1038" i="3"/>
  <c r="J1038" i="3" s="1"/>
  <c r="J1128" i="3"/>
  <c r="I1023" i="3"/>
  <c r="J1023" i="3" s="1"/>
  <c r="I1017" i="3"/>
  <c r="J1017" i="3"/>
  <c r="I1042" i="3"/>
  <c r="J1018" i="3"/>
  <c r="I1132" i="3"/>
  <c r="I1027" i="3"/>
  <c r="I1021" i="3"/>
  <c r="J1042" i="3"/>
  <c r="I1022" i="3"/>
  <c r="J1022" i="3" s="1"/>
  <c r="J1027" i="3"/>
  <c r="J1132" i="3"/>
  <c r="I1032" i="3"/>
  <c r="I1025" i="3"/>
  <c r="I1135" i="3"/>
  <c r="I1026" i="3"/>
  <c r="I1047" i="3"/>
  <c r="J1047" i="3" s="1"/>
  <c r="I1051" i="3"/>
  <c r="J1135" i="3"/>
  <c r="J1025" i="3"/>
  <c r="J1032" i="3"/>
  <c r="J1026" i="3"/>
  <c r="I1030" i="3"/>
  <c r="I1031" i="3"/>
  <c r="I1139" i="3"/>
  <c r="I1037" i="3"/>
  <c r="J1037" i="3" s="1"/>
  <c r="J1051" i="3"/>
  <c r="I1056" i="3"/>
  <c r="I1041" i="3"/>
  <c r="J1139" i="3"/>
  <c r="J1030" i="3"/>
  <c r="J1031" i="3"/>
  <c r="I1143" i="3"/>
  <c r="I1036" i="3"/>
  <c r="J1036" i="3" s="1"/>
  <c r="I1035" i="3"/>
  <c r="J1041" i="3"/>
  <c r="J1056" i="3"/>
  <c r="I1040" i="3"/>
  <c r="J1143" i="3"/>
  <c r="I1046" i="3"/>
  <c r="J1046" i="3" s="1"/>
  <c r="I1044" i="3"/>
  <c r="I1060" i="3"/>
  <c r="J1060" i="3" s="1"/>
  <c r="I1050" i="3"/>
  <c r="I1064" i="3"/>
  <c r="J1040" i="3"/>
  <c r="I1148" i="3"/>
  <c r="I1053" i="3"/>
  <c r="J1064" i="3"/>
  <c r="J1053" i="3"/>
  <c r="J1050" i="3"/>
  <c r="J1148" i="3"/>
  <c r="I1045" i="3"/>
  <c r="J1045" i="3" s="1"/>
  <c r="I1055" i="3"/>
  <c r="I1071" i="3"/>
  <c r="I1068" i="3"/>
  <c r="I1049" i="3"/>
  <c r="I1154" i="3"/>
  <c r="J1154" i="3" s="1"/>
  <c r="J1068" i="3"/>
  <c r="I1159" i="3"/>
  <c r="J1159" i="3" s="1"/>
  <c r="J1071" i="3"/>
  <c r="J1055" i="3"/>
  <c r="J1049" i="3"/>
  <c r="I1054" i="3"/>
  <c r="I1164" i="3"/>
  <c r="J1164" i="3" s="1"/>
  <c r="I1059" i="3"/>
  <c r="J1059" i="3" s="1"/>
  <c r="I1074" i="3"/>
  <c r="I1080" i="3"/>
  <c r="J1054" i="3"/>
  <c r="I1168" i="3"/>
  <c r="J1080" i="3"/>
  <c r="I1063" i="3"/>
  <c r="J1074" i="3"/>
  <c r="J1063" i="3"/>
  <c r="I1085" i="3"/>
  <c r="I1058" i="3"/>
  <c r="I1078" i="3"/>
  <c r="I1172" i="3"/>
  <c r="J1078" i="3"/>
  <c r="I1176" i="3"/>
  <c r="J1085" i="3"/>
  <c r="I1067" i="3"/>
  <c r="I1062" i="3"/>
  <c r="I1113" i="3"/>
  <c r="I1180" i="3"/>
  <c r="J1062" i="3"/>
  <c r="J1067" i="3"/>
  <c r="I1083" i="3"/>
  <c r="J1083" i="3"/>
  <c r="I1066" i="3"/>
  <c r="I1073" i="3"/>
  <c r="I1185" i="3"/>
  <c r="J1185" i="3" s="1"/>
  <c r="J1113" i="3"/>
  <c r="I1122" i="3"/>
  <c r="J1066" i="3"/>
  <c r="J1065" i="3" s="1"/>
  <c r="I1088" i="3"/>
  <c r="J1073" i="3"/>
  <c r="I1188" i="3"/>
  <c r="I1191" i="3"/>
  <c r="J1088" i="3"/>
  <c r="I1077" i="3"/>
  <c r="I1072" i="3"/>
  <c r="J1122" i="3"/>
  <c r="J1072" i="3"/>
  <c r="I1092" i="3"/>
  <c r="I1127" i="3"/>
  <c r="I1194" i="3"/>
  <c r="J1077" i="3"/>
  <c r="J1127" i="3"/>
  <c r="I1197" i="3"/>
  <c r="J1092" i="3"/>
  <c r="I1082" i="3"/>
  <c r="I1076" i="3"/>
  <c r="I1096" i="3"/>
  <c r="I1129" i="3"/>
  <c r="J1082" i="3"/>
  <c r="I1203" i="3"/>
  <c r="J1076" i="3"/>
  <c r="J1203" i="3"/>
  <c r="J1096" i="3"/>
  <c r="I1087" i="3"/>
  <c r="I1081" i="3"/>
  <c r="J1129" i="3"/>
  <c r="I1130" i="3"/>
  <c r="I1207" i="3"/>
  <c r="J1087" i="3"/>
  <c r="J1081" i="3"/>
  <c r="I1100" i="3"/>
  <c r="I1091" i="3"/>
  <c r="J1100" i="3"/>
  <c r="I1086" i="3"/>
  <c r="J1130" i="3"/>
  <c r="J1207" i="3"/>
  <c r="J1091" i="3"/>
  <c r="J1086" i="3"/>
  <c r="I1107" i="3"/>
  <c r="I1133" i="3"/>
  <c r="I1211" i="3"/>
  <c r="I1095" i="3"/>
  <c r="I1090" i="3"/>
  <c r="J1107" i="3"/>
  <c r="J1133" i="3"/>
  <c r="J1211" i="3"/>
  <c r="J1090" i="3"/>
  <c r="I1214" i="3"/>
  <c r="J1095" i="3"/>
  <c r="I1110" i="3"/>
  <c r="J1110" i="3" s="1"/>
  <c r="I1136" i="3"/>
  <c r="I1099" i="3"/>
  <c r="J1214" i="3"/>
  <c r="I1116" i="3"/>
  <c r="I1094" i="3"/>
  <c r="J1136" i="3"/>
  <c r="I1217" i="3"/>
  <c r="J1094" i="3"/>
  <c r="J1116" i="3"/>
  <c r="I1137" i="3"/>
  <c r="J1099" i="3"/>
  <c r="I1120" i="3"/>
  <c r="J1137" i="3"/>
  <c r="I1098" i="3"/>
  <c r="I1103" i="3"/>
  <c r="J1217" i="3"/>
  <c r="J1120" i="3"/>
  <c r="J1098" i="3"/>
  <c r="I1222" i="3"/>
  <c r="J1222" i="3" s="1"/>
  <c r="I1140" i="3"/>
  <c r="J1103" i="3"/>
  <c r="I1125" i="3"/>
  <c r="I1227" i="3"/>
  <c r="I1106" i="3"/>
  <c r="J1140" i="3"/>
  <c r="I1102" i="3"/>
  <c r="J1227" i="3"/>
  <c r="J1125" i="3"/>
  <c r="J1106" i="3"/>
  <c r="I1141" i="3"/>
  <c r="J1102" i="3"/>
  <c r="I1105" i="3"/>
  <c r="I1156" i="3"/>
  <c r="J1156" i="3" s="1"/>
  <c r="I1115" i="3"/>
  <c r="J1141" i="3"/>
  <c r="I1232" i="3"/>
  <c r="J1232" i="3"/>
  <c r="I1161" i="3"/>
  <c r="J1161" i="3" s="1"/>
  <c r="J1105" i="3"/>
  <c r="I1144" i="3"/>
  <c r="J1115" i="3"/>
  <c r="I1119" i="3"/>
  <c r="I1235" i="3"/>
  <c r="I1109" i="3"/>
  <c r="I1166" i="3"/>
  <c r="J1166" i="3" s="1"/>
  <c r="J1144" i="3"/>
  <c r="J1119" i="3"/>
  <c r="I1170" i="3"/>
  <c r="J1170" i="3" s="1"/>
  <c r="J1235" i="3"/>
  <c r="I1114" i="3"/>
  <c r="I1145" i="3"/>
  <c r="I1124" i="3"/>
  <c r="J1145" i="3"/>
  <c r="J1114" i="3"/>
  <c r="I1174" i="3"/>
  <c r="J1174" i="3" s="1"/>
  <c r="I1147" i="3"/>
  <c r="I1178" i="3"/>
  <c r="J1178" i="3" s="1"/>
  <c r="J1124" i="3"/>
  <c r="I14" i="4" s="1"/>
  <c r="I1118" i="3"/>
  <c r="J1147" i="3"/>
  <c r="J1118" i="3"/>
  <c r="I1182" i="3"/>
  <c r="J1182" i="3" s="1"/>
  <c r="I1155" i="3"/>
  <c r="J1155" i="3" s="1"/>
  <c r="I1199" i="3"/>
  <c r="J1199" i="3" s="1"/>
  <c r="I1149" i="3"/>
  <c r="I1160" i="3"/>
  <c r="J1160" i="3" s="1"/>
  <c r="J1149" i="3"/>
  <c r="I1165" i="3"/>
  <c r="J1165" i="3" s="1"/>
  <c r="I1205" i="3"/>
  <c r="I1169" i="3"/>
  <c r="J1169" i="3" s="1"/>
  <c r="I1150" i="3"/>
  <c r="J1205" i="3"/>
  <c r="I1173" i="3"/>
  <c r="J1173" i="3" s="1"/>
  <c r="I1209" i="3"/>
  <c r="J1150" i="3"/>
  <c r="I1177" i="3"/>
  <c r="J1177" i="3" s="1"/>
  <c r="J1209" i="3"/>
  <c r="I1153" i="3"/>
  <c r="I1224" i="3"/>
  <c r="J1224" i="3" s="1"/>
  <c r="I1158" i="3"/>
  <c r="I1181" i="3"/>
  <c r="J1181" i="3" s="1"/>
  <c r="I1186" i="3"/>
  <c r="J1186" i="3" s="1"/>
  <c r="I1163" i="3"/>
  <c r="I1229" i="3"/>
  <c r="I1184" i="3"/>
  <c r="I1189" i="3"/>
  <c r="J1189" i="3" s="1"/>
  <c r="J1229" i="3"/>
  <c r="I1237" i="3"/>
  <c r="I1192" i="3"/>
  <c r="J1192" i="3" s="1"/>
  <c r="I1202" i="3"/>
  <c r="I1195" i="3"/>
  <c r="J1195" i="3" s="1"/>
  <c r="J1237" i="3"/>
  <c r="I15" i="4" s="1"/>
  <c r="J1202" i="3"/>
  <c r="I1198" i="3"/>
  <c r="J1198" i="3" s="1"/>
  <c r="I1204" i="3"/>
  <c r="J1204" i="3"/>
  <c r="I1208" i="3"/>
  <c r="J1208" i="3"/>
  <c r="I1212" i="3"/>
  <c r="J1212" i="3"/>
  <c r="I1215" i="3"/>
  <c r="J1215" i="3"/>
  <c r="I1218" i="3"/>
  <c r="J1218" i="3"/>
  <c r="I1221" i="3"/>
  <c r="I1223" i="3"/>
  <c r="J1223" i="3" s="1"/>
  <c r="I1226" i="3"/>
  <c r="J1226" i="3"/>
  <c r="I1228" i="3"/>
  <c r="J1228" i="3"/>
  <c r="I1231" i="3"/>
  <c r="J1231" i="3"/>
  <c r="I1233" i="3"/>
  <c r="J1233" i="3"/>
  <c r="I1236" i="3"/>
  <c r="J1236" i="3"/>
  <c r="I16" i="4" s="1"/>
  <c r="J1089" i="3" l="1"/>
  <c r="I1075" i="3"/>
  <c r="I1048" i="3"/>
  <c r="J1201" i="3"/>
  <c r="J1024" i="3"/>
  <c r="I1016" i="3"/>
  <c r="I1097" i="3"/>
  <c r="I1213" i="3"/>
  <c r="J1084" i="3"/>
  <c r="I1201" i="3"/>
  <c r="I1101" i="3"/>
  <c r="J1097" i="3"/>
  <c r="J1126" i="3"/>
  <c r="J1131" i="3"/>
  <c r="I1093" i="3"/>
  <c r="I1152" i="3"/>
  <c r="J1153" i="3"/>
  <c r="J1152" i="3" s="1"/>
  <c r="J1206" i="3"/>
  <c r="I1179" i="3"/>
  <c r="J1180" i="3"/>
  <c r="J1179" i="3" s="1"/>
  <c r="J1070" i="3"/>
  <c r="I1220" i="3"/>
  <c r="J1221" i="3"/>
  <c r="J1220" i="3" s="1"/>
  <c r="I1230" i="3"/>
  <c r="I1225" i="3"/>
  <c r="I1162" i="3"/>
  <c r="J1163" i="3"/>
  <c r="J1162" i="3" s="1"/>
  <c r="I1117" i="3"/>
  <c r="I1234" i="3"/>
  <c r="J1104" i="3"/>
  <c r="J1101" i="3"/>
  <c r="I1216" i="3"/>
  <c r="J1213" i="3"/>
  <c r="I1210" i="3"/>
  <c r="J1075" i="3"/>
  <c r="I1196" i="3"/>
  <c r="J1197" i="3"/>
  <c r="J1196" i="3" s="1"/>
  <c r="I1126" i="3"/>
  <c r="J1188" i="3"/>
  <c r="J1187" i="3" s="1"/>
  <c r="I1187" i="3"/>
  <c r="I1121" i="3"/>
  <c r="I1065" i="3"/>
  <c r="J1061" i="3"/>
  <c r="J1172" i="3"/>
  <c r="J1171" i="3" s="1"/>
  <c r="I1171" i="3"/>
  <c r="J1168" i="3"/>
  <c r="J1167" i="3" s="1"/>
  <c r="I1167" i="3"/>
  <c r="J1052" i="3"/>
  <c r="J1039" i="3"/>
  <c r="I1043" i="3"/>
  <c r="J1044" i="3"/>
  <c r="J1043" i="3" s="1"/>
  <c r="I1142" i="3"/>
  <c r="I1138" i="3"/>
  <c r="J1012" i="3"/>
  <c r="J1112" i="3"/>
  <c r="J1184" i="3"/>
  <c r="J1183" i="3" s="1"/>
  <c r="I1183" i="3"/>
  <c r="I13" i="4"/>
  <c r="J1117" i="3"/>
  <c r="I12" i="4"/>
  <c r="J1234" i="3"/>
  <c r="I1112" i="3"/>
  <c r="J1058" i="3"/>
  <c r="J1057" i="3" s="1"/>
  <c r="I1057" i="3"/>
  <c r="I1052" i="3"/>
  <c r="J1142" i="3"/>
  <c r="J1029" i="3"/>
  <c r="J1134" i="3"/>
  <c r="I1206" i="3"/>
  <c r="I1020" i="3"/>
  <c r="J1021" i="3"/>
  <c r="J1020" i="3" s="1"/>
  <c r="I1089" i="3"/>
  <c r="J1176" i="3"/>
  <c r="J1175" i="3" s="1"/>
  <c r="I1175" i="3"/>
  <c r="I1079" i="3"/>
  <c r="I1034" i="3"/>
  <c r="J1035" i="3"/>
  <c r="J1034" i="3" s="1"/>
  <c r="I1029" i="3"/>
  <c r="I1134" i="3"/>
  <c r="J1016" i="3"/>
  <c r="I1012" i="3"/>
  <c r="J1230" i="3"/>
  <c r="J1225" i="3"/>
  <c r="J1158" i="3"/>
  <c r="J1157" i="3" s="1"/>
  <c r="I1157" i="3"/>
  <c r="J1146" i="3"/>
  <c r="I1146" i="3"/>
  <c r="I1108" i="3"/>
  <c r="J1109" i="3"/>
  <c r="J1108" i="3" s="1"/>
  <c r="I1104" i="3"/>
  <c r="J1216" i="3"/>
  <c r="J1093" i="3"/>
  <c r="J1210" i="3"/>
  <c r="I1193" i="3"/>
  <c r="J1194" i="3"/>
  <c r="J1193" i="3" s="1"/>
  <c r="J1121" i="3"/>
  <c r="I1190" i="3"/>
  <c r="J1191" i="3"/>
  <c r="J1190" i="3" s="1"/>
  <c r="I1061" i="3"/>
  <c r="I1084" i="3"/>
  <c r="J1079" i="3"/>
  <c r="J1048" i="3"/>
  <c r="I1070" i="3"/>
  <c r="I1039" i="3"/>
  <c r="J1138" i="3"/>
  <c r="I1024" i="3"/>
  <c r="I1131" i="3"/>
  <c r="I1028" i="3" l="1"/>
  <c r="I1111" i="3"/>
  <c r="J1011" i="3"/>
  <c r="I1200" i="3"/>
  <c r="J1200" i="3"/>
  <c r="J1219" i="3"/>
  <c r="I1011" i="3"/>
  <c r="I1219" i="3"/>
  <c r="J1069" i="3"/>
  <c r="J1151" i="3"/>
  <c r="I1069" i="3"/>
  <c r="J1028" i="3"/>
  <c r="J1111" i="3"/>
  <c r="I1151" i="3"/>
  <c r="I1010" i="3" l="1"/>
  <c r="D7" i="4" s="1"/>
  <c r="D8" i="4" s="1"/>
  <c r="J1010" i="3"/>
  <c r="E7" i="4" s="1"/>
  <c r="E8" i="4" s="1"/>
  <c r="C8" i="4" l="1"/>
  <c r="C7" i="4"/>
</calcChain>
</file>

<file path=xl/sharedStrings.xml><?xml version="1.0" encoding="utf-8"?>
<sst xmlns="http://schemas.openxmlformats.org/spreadsheetml/2006/main" count="5921" uniqueCount="916">
  <si>
    <t>All Module Estimations — Schedule Settings</t>
  </si>
  <si>
    <t>Project Start Date</t>
  </si>
  <si>
    <t>Working Hours / Day</t>
  </si>
  <si>
    <t>Buffer Between Modules (working days)</t>
  </si>
  <si>
    <t>Module Order</t>
  </si>
  <si>
    <t>#</t>
  </si>
  <si>
    <t>Module</t>
  </si>
  <si>
    <t>Module Start Date</t>
  </si>
  <si>
    <t>Day Zero (helper)</t>
  </si>
  <si>
    <t>Execution</t>
  </si>
  <si>
    <t>Admin</t>
  </si>
  <si>
    <t>Safety</t>
  </si>
  <si>
    <t>P&amp;M</t>
  </si>
  <si>
    <t>Store</t>
  </si>
  <si>
    <t>HOW THIS FILE WORKS:</t>
  </si>
  <si>
    <t>1. Working hours per day = 7 (editable above). The schedule is calculated in WORKING HOURS, so several small tasks</t>
  </si>
  <si>
    <t xml:space="preserve">   can be completed on the same day. "Start Hr"/"End Hr" = cumulative working hours of that developer within the module.</t>
  </si>
  <si>
    <t>2. All developers work IN PARALLEL: each developer completes his own tasks one after another (top to bottom),</t>
  </si>
  <si>
    <t xml:space="preserve">   so a module finishes when its busiest developer finishes.</t>
  </si>
  <si>
    <t>3. Modules run sequentially: Execution -&gt; Admin -&gt; Safety -&gt; P&amp;M -&gt; Store, with a 3-working-day buffer between modules.</t>
  </si>
  <si>
    <t>4. Saturdays, Sundays and all dates on the "Holidays" sheet are excluded automatically.</t>
  </si>
  <si>
    <t>5. Everything is live formulas — change Start Date, Hours/Day, Buffer, any Estimated Hours, or any Start Hr,</t>
  </si>
  <si>
    <t xml:space="preserve">   and every downstream task, Epic, Module and Developer date updates automatically (cascades across modules too).</t>
  </si>
  <si>
    <t>6. 0-hour tasks are milestones (consume no time). Epic / User Story / Project rows roll up from their children.</t>
  </si>
  <si>
    <t>Holiday Date</t>
  </si>
  <si>
    <t>Holiday Name</t>
  </si>
  <si>
    <t>Independence Day (Saturday)</t>
  </si>
  <si>
    <t>Add / edit company holidays in column A (rows 2-60); they are excluded from the schedule automatically.</t>
  </si>
  <si>
    <t>Gandhi Jayanti</t>
  </si>
  <si>
    <t>Christmas Day</t>
  </si>
  <si>
    <t>Republic Day</t>
  </si>
  <si>
    <t>WBS ID</t>
  </si>
  <si>
    <t>Task Name</t>
  </si>
  <si>
    <t>Type</t>
  </si>
  <si>
    <t>Estimated Hours</t>
  </si>
  <si>
    <t>Developer</t>
  </si>
  <si>
    <t>Start Hr</t>
  </si>
  <si>
    <t>End Hr</t>
  </si>
  <si>
    <t>Start Date</t>
  </si>
  <si>
    <t>End Date</t>
  </si>
  <si>
    <t>1</t>
  </si>
  <si>
    <t>HIMAPP 2.0 — SITE EXECUTION MODULE — Implementation</t>
  </si>
  <si>
    <t>Project</t>
  </si>
  <si>
    <t>1.1</t>
  </si>
  <si>
    <t xml:space="preserve">    Epic 1: Manpower &amp; Labour Deployment (AM Entry)</t>
  </si>
  <si>
    <t>Epic</t>
  </si>
  <si>
    <t>1.1.1</t>
  </si>
  <si>
    <t xml:space="preserve">        US-01: Field Engineer Logs Morning Manpower Deployment</t>
  </si>
  <si>
    <t>User Story</t>
  </si>
  <si>
    <t>1.1.1.1</t>
  </si>
  <si>
    <t xml:space="preserve">            Database</t>
  </si>
  <si>
    <t>Task</t>
  </si>
  <si>
    <t>Ronak</t>
  </si>
  <si>
    <t>1.1.1.2</t>
  </si>
  <si>
    <t xml:space="preserve">            Backend API</t>
  </si>
  <si>
    <t>1.1.1.3</t>
  </si>
  <si>
    <t xml:space="preserve">            Web Front End</t>
  </si>
  <si>
    <t>Soumy</t>
  </si>
  <si>
    <t>1.1.1.4</t>
  </si>
  <si>
    <t xml:space="preserve">            Mobile</t>
  </si>
  <si>
    <t>Hardik</t>
  </si>
  <si>
    <t>1.1.2</t>
  </si>
  <si>
    <t xml:space="preserve">        US-02: System Carries Saved Manpower Forward into Daily DPR</t>
  </si>
  <si>
    <t>1.1.2.1</t>
  </si>
  <si>
    <t>1.1.2.2</t>
  </si>
  <si>
    <t>1.1.2.3</t>
  </si>
  <si>
    <t>1.1.2.4</t>
  </si>
  <si>
    <t>1.1.3</t>
  </si>
  <si>
    <t xml:space="preserve">        US-03: Add, Tag, and Remove Contractors with Work Category</t>
  </si>
  <si>
    <t>1.1.3.1</t>
  </si>
  <si>
    <t>1.1.3.2</t>
  </si>
  <si>
    <t>1.1.3.3</t>
  </si>
  <si>
    <t>1.1.3.4</t>
  </si>
  <si>
    <t>1.2</t>
  </si>
  <si>
    <t xml:space="preserve">    Epic 2: Site DPR &amp; Project DPR Consolidation</t>
  </si>
  <si>
    <t>1.2.1</t>
  </si>
  <si>
    <t xml:space="preserve">        US-04: Engineer Records Per-Section Activity Quantities Against Plan</t>
  </si>
  <si>
    <t>1.2.1.1</t>
  </si>
  <si>
    <t>Parth Jani</t>
  </si>
  <si>
    <t>1.2.1.2</t>
  </si>
  <si>
    <t>1.2.1.3</t>
  </si>
  <si>
    <t>1.2.1.4</t>
  </si>
  <si>
    <t>1.2.2</t>
  </si>
  <si>
    <t xml:space="preserve">        US-05: QS Enters Quantities via Cross-Section Quantity Matrix</t>
  </si>
  <si>
    <t>1.2.2.1</t>
  </si>
  <si>
    <t>1.2.2.2</t>
  </si>
  <si>
    <t>1.2.2.3</t>
  </si>
  <si>
    <t>1.2.2.4</t>
  </si>
  <si>
    <t>1.2.3</t>
  </si>
  <si>
    <t xml:space="preserve">        US-06: Bulk Quantity Entry via Excel Template Upload</t>
  </si>
  <si>
    <t>1.2.3.1</t>
  </si>
  <si>
    <t>1.2.3.2</t>
  </si>
  <si>
    <t>1.2.3.3</t>
  </si>
  <si>
    <t>1.2.4</t>
  </si>
  <si>
    <t xml:space="preserve">        US-07: Capture Hindrances with Auto-Classification</t>
  </si>
  <si>
    <t>1.2.4.1</t>
  </si>
  <si>
    <t>1.2.4.2</t>
  </si>
  <si>
    <t>1.2.4.3</t>
  </si>
  <si>
    <t>1.2.4.4</t>
  </si>
  <si>
    <t>1.2.5</t>
  </si>
  <si>
    <t xml:space="preserve">        US-08: Capture GPS Tag and Site Photo for Daily Record</t>
  </si>
  <si>
    <t>1.2.5.1</t>
  </si>
  <si>
    <t>1.2.5.2</t>
  </si>
  <si>
    <t>1.2.5.3</t>
  </si>
  <si>
    <t>1.2.5.4</t>
  </si>
  <si>
    <t>1.2.6</t>
  </si>
  <si>
    <t xml:space="preserve">        US-09: Capture Tomorrow's Plan Note</t>
  </si>
  <si>
    <t>1.2.6.1</t>
  </si>
  <si>
    <t>1.2.6.2</t>
  </si>
  <si>
    <t>1.2.6.3</t>
  </si>
  <si>
    <t>1.2.6.4</t>
  </si>
  <si>
    <t>1.2.7</t>
  </si>
  <si>
    <t xml:space="preserve">        US-10: System Calculates DPR Completion % from Required Inputs</t>
  </si>
  <si>
    <t>1.2.7.2</t>
  </si>
  <si>
    <t>1.2.7.3</t>
  </si>
  <si>
    <t>1.2.7.4</t>
  </si>
  <si>
    <t>1.2.8</t>
  </si>
  <si>
    <t xml:space="preserve">        US-11: Engineer Submits DPR for Manager Approval</t>
  </si>
  <si>
    <t>1.2.8.2</t>
  </si>
  <si>
    <t>1.2.8.3</t>
  </si>
  <si>
    <t>1.2.8.4</t>
  </si>
  <si>
    <t>1.2.9</t>
  </si>
  <si>
    <t xml:space="preserve">        US-12: Manager Approves or Reopens Submitted DPR</t>
  </si>
  <si>
    <t>1.2.9.2</t>
  </si>
  <si>
    <t>1.2.9.3</t>
  </si>
  <si>
    <t>1.2.10</t>
  </si>
  <si>
    <t xml:space="preserve">        US-13: Share DPR via WhatsApp and Export as PDF</t>
  </si>
  <si>
    <t>1.2.10.1</t>
  </si>
  <si>
    <t>1.2.10.2</t>
  </si>
  <si>
    <t>1.2.10.3</t>
  </si>
  <si>
    <t>1.2.10.4</t>
  </si>
  <si>
    <t>1.2.11</t>
  </si>
  <si>
    <t xml:space="preserve">        US-14: QS Views Consolidated Project DPR Across All Areas</t>
  </si>
  <si>
    <t>1.2.11.1</t>
  </si>
  <si>
    <t>1.2.11.2</t>
  </si>
  <si>
    <t>1.2.11.3</t>
  </si>
  <si>
    <t>1.3</t>
  </si>
  <si>
    <t xml:space="preserve">    Epic 3: Daily Labour Slip (DDLS)</t>
  </si>
  <si>
    <t>1.3.1</t>
  </si>
  <si>
    <t xml:space="preserve">        US-15: User Creates a Daily Labour Slip with Auto-Priced Lines</t>
  </si>
  <si>
    <t>1.3.1.1</t>
  </si>
  <si>
    <t>1.3.1.2</t>
  </si>
  <si>
    <t>1.3.1.3</t>
  </si>
  <si>
    <t>1.3.1.4</t>
  </si>
  <si>
    <t>1.3.2</t>
  </si>
  <si>
    <t xml:space="preserve">        US-16: System Derives Work Hours, Mandays and Flags Over-Limit Lines</t>
  </si>
  <si>
    <t>1.3.2.2</t>
  </si>
  <si>
    <t>1.3.2.3</t>
  </si>
  <si>
    <t>1.3.3</t>
  </si>
  <si>
    <t xml:space="preserve">        US-17: Require Lumpsum or Exception Justification on Flagged Lines</t>
  </si>
  <si>
    <t>1.3.3.2</t>
  </si>
  <si>
    <t>1.3.3.3</t>
  </si>
  <si>
    <t>1.3.3.4</t>
  </si>
  <si>
    <t>1.3.4</t>
  </si>
  <si>
    <t xml:space="preserve">        US-18: Bulk Import Labour Slip Lines via Excel</t>
  </si>
  <si>
    <t>1.3.4.2</t>
  </si>
  <si>
    <t>1.3.4.3</t>
  </si>
  <si>
    <t>1.3.5</t>
  </si>
  <si>
    <t xml:space="preserve">        US-19: Save Draft and Submit Slip for Approval</t>
  </si>
  <si>
    <t>1.3.5.2</t>
  </si>
  <si>
    <t>1.3.5.3</t>
  </si>
  <si>
    <t>1.3.5.4</t>
  </si>
  <si>
    <t>1.3.6</t>
  </si>
  <si>
    <t xml:space="preserve">        US-20: User Views, Edits, and Resubmits Slips from My Submissions</t>
  </si>
  <si>
    <t>1.3.6.1</t>
  </si>
  <si>
    <t>1.3.6.2</t>
  </si>
  <si>
    <t>1.3.6.3</t>
  </si>
  <si>
    <t>1.3.6.4</t>
  </si>
  <si>
    <t>1.3.7</t>
  </si>
  <si>
    <t xml:space="preserve">        US-21: Maintain a Project-Wide Labour Slip Feed</t>
  </si>
  <si>
    <t>1.3.7.1</t>
  </si>
  <si>
    <t>1.3.7.2</t>
  </si>
  <si>
    <t>1.3.7.3</t>
  </si>
  <si>
    <t>1.4</t>
  </si>
  <si>
    <t xml:space="preserve">    Epic 4: Approvals &amp; Cost Intelligence</t>
  </si>
  <si>
    <t>1.4.1</t>
  </si>
  <si>
    <t xml:space="preserve">        US-22: Approver Reviews Pending Slip Queue</t>
  </si>
  <si>
    <t>1.4.1.1</t>
  </si>
  <si>
    <t>1.4.1.2</t>
  </si>
  <si>
    <t>1.4.1.3</t>
  </si>
  <si>
    <t>1.4.2</t>
  </si>
  <si>
    <t xml:space="preserve">        US-23: System Surfaces Approval Intelligence: Mandays and Rate Variance vs History</t>
  </si>
  <si>
    <t>1.4.2.1</t>
  </si>
  <si>
    <t>1.4.2.2</t>
  </si>
  <si>
    <t>1.4.2.3</t>
  </si>
  <si>
    <t>1.4.3</t>
  </si>
  <si>
    <t xml:space="preserve">        US-24: System Flags Duplicate Slip Submission</t>
  </si>
  <si>
    <t>1.4.3.2</t>
  </si>
  <si>
    <t>1.4.3.3</t>
  </si>
  <si>
    <t>1.4.4</t>
  </si>
  <si>
    <t xml:space="preserve">        US-25: System Flags Slips Exceeding the Cost Threshold</t>
  </si>
  <si>
    <t>1.4.4.1</t>
  </si>
  <si>
    <t>1.4.4.2</t>
  </si>
  <si>
    <t>1.4.4.3</t>
  </si>
  <si>
    <t>1.4.4.4</t>
  </si>
  <si>
    <t>1.4.5</t>
  </si>
  <si>
    <t xml:space="preserve">        US-26: Approver Approves a Slip</t>
  </si>
  <si>
    <t>1.4.5.1</t>
  </si>
  <si>
    <t>1.4.5.2</t>
  </si>
  <si>
    <t>1.4.5.3</t>
  </si>
  <si>
    <t>1.4.6</t>
  </si>
  <si>
    <t xml:space="preserve">        US-27: Approver Rejects a Slip with Mandatory Reason and Remark</t>
  </si>
  <si>
    <t>1.4.6.1</t>
  </si>
  <si>
    <t>1.4.6.2</t>
  </si>
  <si>
    <t>1.4.6.3</t>
  </si>
  <si>
    <t>1.5</t>
  </si>
  <si>
    <t xml:space="preserve">    Epic 5: D365 Reconciliation &amp; Billing</t>
  </si>
  <si>
    <t>1.5.1</t>
  </si>
  <si>
    <t xml:space="preserve">        US-28: Finance Books Approved Slips to D365</t>
  </si>
  <si>
    <t>1.5.1.1</t>
  </si>
  <si>
    <t>1.5.1.2</t>
  </si>
  <si>
    <t>1.5.1.3</t>
  </si>
  <si>
    <t>1.5.2</t>
  </si>
  <si>
    <t xml:space="preserve">        US-29: System Tracks Approved vs Booked vs Pending Reconciliation Totals</t>
  </si>
  <si>
    <t>1.5.2.1</t>
  </si>
  <si>
    <t>1.5.2.2</t>
  </si>
  <si>
    <t>1.5.2.3</t>
  </si>
  <si>
    <t>1.5.3</t>
  </si>
  <si>
    <t xml:space="preserve">        US-30: Generate Billing Register of Approved Slips</t>
  </si>
  <si>
    <t>1.5.3.1</t>
  </si>
  <si>
    <t>1.5.3.2</t>
  </si>
  <si>
    <t>1.5.3.3</t>
  </si>
  <si>
    <t>1.5.4</t>
  </si>
  <si>
    <t xml:space="preserve">        US-31: Export Reconciliation and Billing Data to PDF</t>
  </si>
  <si>
    <t>1.5.4.1</t>
  </si>
  <si>
    <t>1.5.4.2</t>
  </si>
  <si>
    <t>1.5.4.3</t>
  </si>
  <si>
    <t>1.6</t>
  </si>
  <si>
    <t xml:space="preserve">    Epic 6: Planning &amp; Targets</t>
  </si>
  <si>
    <t>1.6.1</t>
  </si>
  <si>
    <t xml:space="preserve">        US-32: QS Defines Planning Period and Daily Targets per Area</t>
  </si>
  <si>
    <t>1.6.1.1</t>
  </si>
  <si>
    <t>1.6.1.2</t>
  </si>
  <si>
    <t>1.6.1.3</t>
  </si>
  <si>
    <t>1.6.2</t>
  </si>
  <si>
    <t xml:space="preserve">        US-33: QS Marks Applicable Activities per Section</t>
  </si>
  <si>
    <t>1.6.2.1</t>
  </si>
  <si>
    <t>1.6.2.2</t>
  </si>
  <si>
    <t>1.6.2.3</t>
  </si>
  <si>
    <t>1.6.3</t>
  </si>
  <si>
    <t xml:space="preserve">        US-34: QS Attaches Drawings or BOQ to the Plan</t>
  </si>
  <si>
    <t>1.6.3.1</t>
  </si>
  <si>
    <t>1.6.3.2</t>
  </si>
  <si>
    <t>1.6.3.3</t>
  </si>
  <si>
    <t>1.6.4</t>
  </si>
  <si>
    <t xml:space="preserve">        US-35: Reset Plan to Defaults or Copy Default Targets</t>
  </si>
  <si>
    <t>1.6.4.1</t>
  </si>
  <si>
    <t>1.6.4.2</t>
  </si>
  <si>
    <t>1.6.4.3</t>
  </si>
  <si>
    <t>1.7</t>
  </si>
  <si>
    <t xml:space="preserve">    Epic 7: Rate Master &amp; Validation Configuration</t>
  </si>
  <si>
    <t>1.7.1</t>
  </si>
  <si>
    <t xml:space="preserve">        US-36: ERP Support Configures Indicative Trade Rates per Project</t>
  </si>
  <si>
    <t>1.7.1.1</t>
  </si>
  <si>
    <t>1.7.1.2</t>
  </si>
  <si>
    <t>1.7.1.3</t>
  </si>
  <si>
    <t>1.7.2</t>
  </si>
  <si>
    <t xml:space="preserve">        US-37: ERP Support Configures Max Working Hours/Day Validation Cap</t>
  </si>
  <si>
    <t>1.7.2.1</t>
  </si>
  <si>
    <t>1.7.2.2</t>
  </si>
  <si>
    <t>1.7.2.3</t>
  </si>
  <si>
    <t>1.7.3</t>
  </si>
  <si>
    <t xml:space="preserve">        US-38: Reset Project Rates to Company Master Defaults</t>
  </si>
  <si>
    <t>1.7.3.1</t>
  </si>
  <si>
    <t>1.7.3.2</t>
  </si>
  <si>
    <t>1.7.3.3</t>
  </si>
  <si>
    <t>1.8</t>
  </si>
  <si>
    <t xml:space="preserve">    Epic 8: Central Control — Portfolio, Provisioning, Masters &amp; Guardrails</t>
  </si>
  <si>
    <t>1.8.1</t>
  </si>
  <si>
    <t xml:space="preserve">        US-39: Central QS Views Portfolio Status Across All Projects</t>
  </si>
  <si>
    <t>1.8.1.1</t>
  </si>
  <si>
    <t>1.8.1.2</t>
  </si>
  <si>
    <t>1.8.1.3</t>
  </si>
  <si>
    <t>1.8.2</t>
  </si>
  <si>
    <t xml:space="preserve">        US-40: Central QS Launches a New Project and Assigns a QS</t>
  </si>
  <si>
    <t>1.8.2.1</t>
  </si>
  <si>
    <t>1.8.2.2</t>
  </si>
  <si>
    <t>1.8.2.3</t>
  </si>
  <si>
    <t>1.8.3</t>
  </si>
  <si>
    <t xml:space="preserve">        US-41: QS Completes On-Site Setup Steps for a Provisioned Project</t>
  </si>
  <si>
    <t>1.8.3.1</t>
  </si>
  <si>
    <t>1.8.3.2</t>
  </si>
  <si>
    <t>1.8.3.3</t>
  </si>
  <si>
    <t>1.8.4</t>
  </si>
  <si>
    <t xml:space="preserve">        US-42: Central QS Configures Company-Wide Rate and Activity Masters</t>
  </si>
  <si>
    <t>1.8.4.1</t>
  </si>
  <si>
    <t>1.8.4.2</t>
  </si>
  <si>
    <t>1.8.4.3</t>
  </si>
  <si>
    <t>1.8.5</t>
  </si>
  <si>
    <t xml:space="preserve">        US-43: Central QS Configures Per-Project QS Guardrails</t>
  </si>
  <si>
    <t>1.8.5.1</t>
  </si>
  <si>
    <t>1.8.5.2</t>
  </si>
  <si>
    <t>1.8.5.3</t>
  </si>
  <si>
    <t>1.8.6</t>
  </si>
  <si>
    <t xml:space="preserve">        US-44: View Company-Wide Billing Roll-up by Region and Project</t>
  </si>
  <si>
    <t>1.8.6.1</t>
  </si>
  <si>
    <t>1.8.6.2</t>
  </si>
  <si>
    <t>1.8.6.3</t>
  </si>
  <si>
    <t>1.8.7</t>
  </si>
  <si>
    <t xml:space="preserve">        US-45: Enforce Role-Based Navigation and Access Across Site Execution Roles</t>
  </si>
  <si>
    <t>1.8.7.1</t>
  </si>
  <si>
    <t>1.8.7.2</t>
  </si>
  <si>
    <t>1.8.7.3</t>
  </si>
  <si>
    <t>1.9</t>
  </si>
  <si>
    <t xml:space="preserve">    Epic 9: Dashboard &amp; Reporting</t>
  </si>
  <si>
    <t>1.9.1</t>
  </si>
  <si>
    <t xml:space="preserve">        US-46: Site Manager Views Site Command Dashboard KPIs</t>
  </si>
  <si>
    <t>1.9.1.1</t>
  </si>
  <si>
    <t>1.9.1.2</t>
  </si>
  <si>
    <t>1.9.1.3</t>
  </si>
  <si>
    <t>1.9.2</t>
  </si>
  <si>
    <t xml:space="preserve">        US-47: Dashboard Shows 7-Day Labour Cost Trend and Area Progress</t>
  </si>
  <si>
    <t>1.9.2.1</t>
  </si>
  <si>
    <t>1.9.2.2</t>
  </si>
  <si>
    <t>1.9.2.3</t>
  </si>
  <si>
    <t>1.9.3</t>
  </si>
  <si>
    <t xml:space="preserve">        US-48: Dashboard Highlights Top Contractors by Approved Value</t>
  </si>
  <si>
    <t>1.9.3.1</t>
  </si>
  <si>
    <t>1.9.3.2</t>
  </si>
  <si>
    <t>1.9.3.3</t>
  </si>
  <si>
    <t>1.9.4</t>
  </si>
  <si>
    <t xml:space="preserve">        US-49: Maintain Offline-Safe Local Save with Synced Status Indicator</t>
  </si>
  <si>
    <t>1.9.4.1</t>
  </si>
  <si>
    <t>1.9.4.2</t>
  </si>
  <si>
    <t>1.9.4.3</t>
  </si>
  <si>
    <t>HIMAPP 2.0 — Admin Module Implementation</t>
  </si>
  <si>
    <t xml:space="preserve">    Epic 1: Dashboard &amp; KPIs</t>
  </si>
  <si>
    <t xml:space="preserve">        US-01: Admin Views Real-Time Project Dashboard</t>
  </si>
  <si>
    <t xml:space="preserve">        US-02: Ready-to-Issue Banner Highlights Cleared Workers</t>
  </si>
  <si>
    <t xml:space="preserve">        US-03: Recently Registered Labour List with Quick Actions</t>
  </si>
  <si>
    <t>1.1.4</t>
  </si>
  <si>
    <t xml:space="preserve">        US-04: Expiring Gatepasses Widget with Renew Shortcut</t>
  </si>
  <si>
    <t>1.1.4.1</t>
  </si>
  <si>
    <t>1.1.4.2</t>
  </si>
  <si>
    <t>1.1.4.3</t>
  </si>
  <si>
    <t xml:space="preserve">    Epic 2: Labour Registration</t>
  </si>
  <si>
    <t xml:space="preserve">        US-05: Admin Registers New Labour via Four-Section Form</t>
  </si>
  <si>
    <t xml:space="preserve">        US-06: Auto-Fill Contractor Contact Number on Selection</t>
  </si>
  <si>
    <t xml:space="preserve">        US-07: System Validates Minimum Age of 18 Years at Registration</t>
  </si>
  <si>
    <t xml:space="preserve">        US-08: System Enforces Aadhaar Mandatory Format and Masking</t>
  </si>
  <si>
    <t xml:space="preserve">        US-09: System Validates PAN Format When Provided</t>
  </si>
  <si>
    <t xml:space="preserve">        US-10: System Enforces Mandatory Labour Photo Before Save</t>
  </si>
  <si>
    <t xml:space="preserve">        US-11: System Validates Vaccine Date Sequencing</t>
  </si>
  <si>
    <t>1.2.7.1</t>
  </si>
  <si>
    <t xml:space="preserve">        US-12: Admin Views Success Summary and Auto-Notifies Safety Officer</t>
  </si>
  <si>
    <t>1.2.8.1</t>
  </si>
  <si>
    <t xml:space="preserve">    Epic 3: Multi-Project Reuse &amp; Duplicate Prevention</t>
  </si>
  <si>
    <t xml:space="preserve">        US-13: System Detects Cross-Project Aadhaar Match and Prompts Reuse</t>
  </si>
  <si>
    <t xml:space="preserve">        US-14: Admin Reuses Existing Record with One Click</t>
  </si>
  <si>
    <t>1.3.3.1</t>
  </si>
  <si>
    <t xml:space="preserve">        US-15: Admin Creates a New Record Despite a Cross-Project Match</t>
  </si>
  <si>
    <t xml:space="preserve">        US-16: System Hard-Blocks Duplicate Aadhaar on the Same Project</t>
  </si>
  <si>
    <t>1.3.4.1</t>
  </si>
  <si>
    <t xml:space="preserve">    Epic 4: Labour List, Search &amp; Export</t>
  </si>
  <si>
    <t xml:space="preserve">        US-17: Admin Searches and Filters the Labour List</t>
  </si>
  <si>
    <t>1.4.1.4</t>
  </si>
  <si>
    <t xml:space="preserve">        US-18: Admin Exports Filtered Labour List to Excel</t>
  </si>
  <si>
    <t xml:space="preserve">        US-19: Admin Issues Gatepass Directly from Labour List</t>
  </si>
  <si>
    <t>1.4.3.1</t>
  </si>
  <si>
    <t xml:space="preserve">        US-20: Admin Views Paginated Labour List with Total Count</t>
  </si>
  <si>
    <t xml:space="preserve">    Epic 5: Gatepass Issuance</t>
  </si>
  <si>
    <t xml:space="preserve">        US-21: Admin Issues Gatepass Gated on Safety Clearance</t>
  </si>
  <si>
    <t>1.5.1.4</t>
  </si>
  <si>
    <t xml:space="preserve">        US-22: System Validates Gatepass Validity Dates on Issuance</t>
  </si>
  <si>
    <t xml:space="preserve">        US-23: System Generates Unique Gatepass Number on Issuance</t>
  </si>
  <si>
    <t xml:space="preserve">        US-24: Admin Views and Filters Gatepass Management List</t>
  </si>
  <si>
    <t>1.5.5</t>
  </si>
  <si>
    <t xml:space="preserve">        US-25: Admin Views Cleared Count Summary on Gatepass Screen</t>
  </si>
  <si>
    <t>1.5.5.1</t>
  </si>
  <si>
    <t>1.5.5.2</t>
  </si>
  <si>
    <t>1.5.5.3</t>
  </si>
  <si>
    <t xml:space="preserve">    Epic 6: Gatepass Renewal &amp; Revocation</t>
  </si>
  <si>
    <t xml:space="preserve">        US-26: Admin Renews an Expired Gatepass</t>
  </si>
  <si>
    <t>1.6.1.4</t>
  </si>
  <si>
    <t xml:space="preserve">        US-27: System Requires Mandatory Reason for Gatepass Revocation</t>
  </si>
  <si>
    <t xml:space="preserve">        US-28: System Displays Irreversibility Warning Before Confirming Revocation</t>
  </si>
  <si>
    <t xml:space="preserve">        US-29: System Enforces Irreversible Status Change on Revocation</t>
  </si>
  <si>
    <t xml:space="preserve">    Epic 7: Bulk Print &amp; Printable Gatepass Slip</t>
  </si>
  <si>
    <t xml:space="preserve">        US-30: Admin Selects Multiple Active Gatepasses for Bulk Print</t>
  </si>
  <si>
    <t xml:space="preserve">        US-31: Admin Confirms Bulk Print with Previous Print Count Visibility</t>
  </si>
  <si>
    <t xml:space="preserve">        US-32: System Increments and Logs Print Count on Every Print Action</t>
  </si>
  <si>
    <t>1.7.4</t>
  </si>
  <si>
    <t xml:space="preserve">        US-33: Admin Generates A5 Printable Gatepass Slip</t>
  </si>
  <si>
    <t>1.7.4.1</t>
  </si>
  <si>
    <t>1.7.4.2</t>
  </si>
  <si>
    <t>1.7.5</t>
  </si>
  <si>
    <t xml:space="preserve">        US-34: Admin Generates ID-Card (CR80) Printable Gatepass</t>
  </si>
  <si>
    <t>1.7.5.1</t>
  </si>
  <si>
    <t>1.7.5.2</t>
  </si>
  <si>
    <t>1.7.6</t>
  </si>
  <si>
    <t xml:space="preserve">        US-35: System Renders Revoked Watermark and Warns Before Printing a Revoked Pass</t>
  </si>
  <si>
    <t>1.7.6.1</t>
  </si>
  <si>
    <t>1.7.6.2</t>
  </si>
  <si>
    <t xml:space="preserve">    Epic 8: Colony Assignment</t>
  </si>
  <si>
    <t xml:space="preserve">        US-36: Admin Views Block-Wise Room Occupancy</t>
  </si>
  <si>
    <t>1.8.1.4</t>
  </si>
  <si>
    <t xml:space="preserve">        US-37: Admin Creates a New Colony Assignment with Capacity Visibility</t>
  </si>
  <si>
    <t xml:space="preserve">        US-38: System Blocks Assignment Beyond Room Capacity</t>
  </si>
  <si>
    <t xml:space="preserve">        US-39: Admin Reassigns a Worker to a Different Room</t>
  </si>
  <si>
    <t xml:space="preserve">        US-40: Admin Vacates a Colony Assignment</t>
  </si>
  <si>
    <t xml:space="preserve">    Epic 9: Notifications &amp; Alerts</t>
  </si>
  <si>
    <t xml:space="preserve">        US-41: System Sends In-App Toast on Successful Labour Registration</t>
  </si>
  <si>
    <t>1.9.1.4</t>
  </si>
  <si>
    <t xml:space="preserve">        US-42: System Notifies Admin Team on Safety Clearance Confirmation</t>
  </si>
  <si>
    <t xml:space="preserve">        US-43: System Sends Expiry Alerts via Push</t>
  </si>
  <si>
    <t xml:space="preserve">        US-44: System Displays Inline Warning on Room Capacity Conflict</t>
  </si>
  <si>
    <t>1.10</t>
  </si>
  <si>
    <t xml:space="preserve">    Epic 10: Mobile Experience</t>
  </si>
  <si>
    <t>1.10.2</t>
  </si>
  <si>
    <t xml:space="preserve">        US-46: Admin Captures Photo and Documents via Device Camera</t>
  </si>
  <si>
    <t>1.10.2.3</t>
  </si>
  <si>
    <t>1.11</t>
  </si>
  <si>
    <t xml:space="preserve">    Epic 11: Integrations, Reporting &amp; NFRs</t>
  </si>
  <si>
    <t>1.11.1</t>
  </si>
  <si>
    <t xml:space="preserve">        US-49: System Consumes Safety Clearance Flag Read-Only from Safety Module</t>
  </si>
  <si>
    <t>1.11.1.1</t>
  </si>
  <si>
    <t>1.11.1.2</t>
  </si>
  <si>
    <t>1.11.1.3</t>
  </si>
  <si>
    <t>1.11.1.4</t>
  </si>
  <si>
    <t>1.11.2</t>
  </si>
  <si>
    <t xml:space="preserve">        US-50: System Consumes ERP Master Data as Read-Only Dropdowns</t>
  </si>
  <si>
    <t>1.11.2.1</t>
  </si>
  <si>
    <t>1.11.2.2</t>
  </si>
  <si>
    <t>1.11.2.3</t>
  </si>
  <si>
    <t>1.11.3</t>
  </si>
  <si>
    <t xml:space="preserve">        US-51: System Maintains a Complete Audit Trail for All Transactions</t>
  </si>
  <si>
    <t>1.11.3.1</t>
  </si>
  <si>
    <t>1.11.3.2</t>
  </si>
  <si>
    <t>1.11.4</t>
  </si>
  <si>
    <t xml:space="preserve">        US-52: Admin Generates Statutory Compliance Export</t>
  </si>
  <si>
    <t>1.11.4.1</t>
  </si>
  <si>
    <t>1.11.4.2</t>
  </si>
  <si>
    <t>HIMAPP 2.0 — Safety Module Implementation</t>
  </si>
  <si>
    <t xml:space="preserve">    Epic 1: Safety Induction</t>
  </si>
  <si>
    <t xml:space="preserve">        US-01: Creates Group Induction Session</t>
  </si>
  <si>
    <t xml:space="preserve">        US-03: Labourer Provides Signature or Thumbprint Acknowledgement</t>
  </si>
  <si>
    <t xml:space="preserve">        US-04: Manage Induction Topic Library with Free-Text Add</t>
  </si>
  <si>
    <t>1.1.4.4</t>
  </si>
  <si>
    <t>1.1.5</t>
  </si>
  <si>
    <t xml:space="preserve">        US-05: System Calculates Per-Person Induction Validity with Override</t>
  </si>
  <si>
    <t>1.1.5.2</t>
  </si>
  <si>
    <t>1.1.5.3</t>
  </si>
  <si>
    <t>1.1.5.4</t>
  </si>
  <si>
    <t>1.1.7</t>
  </si>
  <si>
    <t xml:space="preserve">        US-07: Issue First-Time PPE Inline on Induction Screen</t>
  </si>
  <si>
    <t>1.1.7.2</t>
  </si>
  <si>
    <t>1.1.7.3</t>
  </si>
  <si>
    <t>1.1.7.4</t>
  </si>
  <si>
    <t>1.1.8</t>
  </si>
  <si>
    <t xml:space="preserve">        US-08: Pending Induction List Auto-Populated from Registrations</t>
  </si>
  <si>
    <t>1.1.8.2</t>
  </si>
  <si>
    <t>1.1.8.3</t>
  </si>
  <si>
    <t>1.1.8.4</t>
  </si>
  <si>
    <t xml:space="preserve">    Epic 2: Labour Tests &amp; Medical Records (BOCW)</t>
  </si>
  <si>
    <t xml:space="preserve">        US-09: Configure Project-Level Labour Test Requirements</t>
  </si>
  <si>
    <t xml:space="preserve">        US-10: Hard Block PPE Issuance on Pending or Failed Mandatory Test Status Change to Fail</t>
  </si>
  <si>
    <t xml:space="preserve">        US-11: Doctor Creates Medical Test Record (Form XI / BOCW)</t>
  </si>
  <si>
    <t>1.2.3.4</t>
  </si>
  <si>
    <t xml:space="preserve">        US-13: Track Pending Medical Examinations with Dashboard KPI</t>
  </si>
  <si>
    <t xml:space="preserve">        US-14: Maintain Multiple Permanent Medical Records per Labourer</t>
  </si>
  <si>
    <t xml:space="preserve">    Epic 3: PPE Issuance</t>
  </si>
  <si>
    <t xml:space="preserve">        US-15: Configure PPE Master with Labour Type Baseline Mapping</t>
  </si>
  <si>
    <t xml:space="preserve">        US-16: Issue PPE via Person-First or Contractor-First Mode</t>
  </si>
  <si>
    <t>1.3.2.4</t>
  </si>
  <si>
    <t xml:space="preserve">        US-17: Enforce First Issue / Replacement / Additional Issuance Rule</t>
  </si>
  <si>
    <t xml:space="preserve">        US-18: Auto-Consolidate PPE Issuance into Contractor-Wise MRIS</t>
  </si>
  <si>
    <t>1.3.4.4</t>
  </si>
  <si>
    <t xml:space="preserve">        US-19: Update Clearance Flag on First Issue Confirmation</t>
  </si>
  <si>
    <t xml:space="preserve">    Epic 4: Entry Pass &amp; Overall Clearance</t>
  </si>
  <si>
    <t xml:space="preserve">        US-21: System Calculates Overall Clearance from Three Conditions</t>
  </si>
  <si>
    <t xml:space="preserve">        US-22: Admin Issues Entry Pass Gated on Overall Clearance</t>
  </si>
  <si>
    <t>1.4.2.4</t>
  </si>
  <si>
    <t xml:space="preserve">        US-23: Admin Overrides Not-Cleared Status with Mandatory Reason</t>
  </si>
  <si>
    <t>1.4.3.4</t>
  </si>
  <si>
    <t xml:space="preserve">        US-24: Admin Revokes Entry Pass</t>
  </si>
  <si>
    <t xml:space="preserve">        US-25: Periodic Entry Pass Reconciliation Report</t>
  </si>
  <si>
    <t xml:space="preserve">    Epic 5: Work Permit (PTW)</t>
  </si>
  <si>
    <t xml:space="preserve">        US-26: Configure Permit Type Master with Classification Rules</t>
  </si>
  <si>
    <t xml:space="preserve">        US-27: Requestor Initiates PTW Request</t>
  </si>
  <si>
    <t>1.5.2.4</t>
  </si>
  <si>
    <t xml:space="preserve">        US-30: Fresh Checklist Every Time with Copy-From-Previous for Static Fields Only</t>
  </si>
  <si>
    <t>1.5.5.4</t>
  </si>
  <si>
    <t>1.5.6</t>
  </si>
  <si>
    <t xml:space="preserve">        US-31: Enforce L1 and L2 Dual Approval Workflow</t>
  </si>
  <si>
    <t>1.5.6.2</t>
  </si>
  <si>
    <t>1.5.6.3</t>
  </si>
  <si>
    <t>1.5.6.4</t>
  </si>
  <si>
    <t>1.5.7</t>
  </si>
  <si>
    <t xml:space="preserve">        US-32: Compliance Counting and Notification Suppression for Multi-Day Permits</t>
  </si>
  <si>
    <t>1.5.7.2</t>
  </si>
  <si>
    <t>1.5.7.3</t>
  </si>
  <si>
    <t>1.5.7.4</t>
  </si>
  <si>
    <t>1.5.8</t>
  </si>
  <si>
    <t xml:space="preserve">        US-33: Requestor Extends Active Permit Unilaterally</t>
  </si>
  <si>
    <t>1.5.8.2</t>
  </si>
  <si>
    <t>1.5.8.3</t>
  </si>
  <si>
    <t>1.5.8.4</t>
  </si>
  <si>
    <t>1.5.9</t>
  </si>
  <si>
    <t xml:space="preserve">        US-34: SSO Places and Releases Hold Without Consuming Validity</t>
  </si>
  <si>
    <t>1.5.9.2</t>
  </si>
  <si>
    <t>1.5.9.3</t>
  </si>
  <si>
    <t>1.5.9.4</t>
  </si>
  <si>
    <t>1.5.10</t>
  </si>
  <si>
    <t xml:space="preserve">        US-35: EHS Manager Issues and Releases Work Stop</t>
  </si>
  <si>
    <t>1.5.10.2</t>
  </si>
  <si>
    <t>1.5.10.3</t>
  </si>
  <si>
    <t>1.5.10.4</t>
  </si>
  <si>
    <t>1.5.11</t>
  </si>
  <si>
    <t xml:space="preserve">        US-36: Two-Party Closure of Completed Permit</t>
  </si>
  <si>
    <t>1.5.11.2</t>
  </si>
  <si>
    <t>1.5.11.3</t>
  </si>
  <si>
    <t>1.5.11.4</t>
  </si>
  <si>
    <t>1.5.12</t>
  </si>
  <si>
    <t xml:space="preserve">        US-37: System Auto-Expires Permit and Calculates Compliance %</t>
  </si>
  <si>
    <t>1.5.12.2</t>
  </si>
  <si>
    <t>1.5.12.3</t>
  </si>
  <si>
    <t>1.5.12.4</t>
  </si>
  <si>
    <t>1.5.13</t>
  </si>
  <si>
    <t xml:space="preserve">        US-38: PTW Notification Matrix Across the Approval and Execution Lifecycle</t>
  </si>
  <si>
    <t>1.5.13.2</t>
  </si>
  <si>
    <t>1.5.13.3</t>
  </si>
  <si>
    <t>1.5.13.4</t>
  </si>
  <si>
    <t xml:space="preserve">    Epic 7: Checklist &amp; Rating Enhancements</t>
  </si>
  <si>
    <t xml:space="preserve">        US-49: Configure Photo-Mandatory Toggle per Checklist Point</t>
  </si>
  <si>
    <t>1.7.1.4</t>
  </si>
  <si>
    <t xml:space="preserve">        US-50: Configure Project-Level Checklist Approver</t>
  </si>
  <si>
    <t>1.7.2.4</t>
  </si>
  <si>
    <t xml:space="preserve">        US-51: Add Comments Throughout Checklist Lifecycle</t>
  </si>
  <si>
    <t>1.7.3.4</t>
  </si>
  <si>
    <t xml:space="preserve">        US-52: Enforce Rating Immutability on New Submission</t>
  </si>
  <si>
    <t>1.7.4.3</t>
  </si>
  <si>
    <t>1.7.4.4</t>
  </si>
  <si>
    <t xml:space="preserve">        US-53: Configure Target CCP Score per Project Rating Template</t>
  </si>
  <si>
    <t>1.7.5.3</t>
  </si>
  <si>
    <t>1.7.5.4</t>
  </si>
  <si>
    <t xml:space="preserve">    Epic 8: Safety MIS &amp; Dashboards</t>
  </si>
  <si>
    <t xml:space="preserve">        US-54: User Dashboard with My Tasks and Permits</t>
  </si>
  <si>
    <t xml:space="preserve">        US-55: Project Dashboard Across All Three Tracks</t>
  </si>
  <si>
    <t>1.8.2.4</t>
  </si>
  <si>
    <t xml:space="preserve">        US-56: Management Cross-Project Dashboard with Trends</t>
  </si>
  <si>
    <t>1.8.3.4</t>
  </si>
  <si>
    <t xml:space="preserve">    Epic 9:Integrations &amp; NFRs</t>
  </si>
  <si>
    <t xml:space="preserve">        US-59: Consume Labour Registration Data from Admin Module</t>
  </si>
  <si>
    <t>1.9.2.4</t>
  </si>
  <si>
    <t xml:space="preserve">        US-61: Convert PPE Issuance to MRIS via D365 Write Integration</t>
  </si>
  <si>
    <t>1.9.4.4</t>
  </si>
  <si>
    <t>HIMAPP 2.0 — PLANT &amp; MACHINERY (PM) MODULE — Implementation</t>
  </si>
  <si>
    <t xml:space="preserve">    Epic 1: Equipment Management</t>
  </si>
  <si>
    <t xml:space="preserve">        PNM-001: Sync Equipment Master from D365</t>
  </si>
  <si>
    <t xml:space="preserve">        PNM-002: View Equipment List (Equipment 360)</t>
  </si>
  <si>
    <t xml:space="preserve">        PNM-003: Search Equipment</t>
  </si>
  <si>
    <t xml:space="preserve">        PNM-004: View Equipment Detail — Overview Tab</t>
  </si>
  <si>
    <t xml:space="preserve">        PNM-005: View Equipment Lifecycle History</t>
  </si>
  <si>
    <t>1.1.5.1</t>
  </si>
  <si>
    <t>1.1.6</t>
  </si>
  <si>
    <t xml:space="preserve">        PNM-006: Assign Equipment to Project (Initial Assignment)</t>
  </si>
  <si>
    <t>1.1.6.1</t>
  </si>
  <si>
    <t>1.1.6.2</t>
  </si>
  <si>
    <t>1.1.6.3</t>
  </si>
  <si>
    <t xml:space="preserve">        PNM-008: Raise Equipment Condition Report (ECR) — Sender</t>
  </si>
  <si>
    <t>1.1.7.1</t>
  </si>
  <si>
    <t>Inderjeet</t>
  </si>
  <si>
    <t xml:space="preserve">        PNM-009: Auto-Cancel Open Spare MRIS on Transfer Completion</t>
  </si>
  <si>
    <t>1.1.8.1</t>
  </si>
  <si>
    <t>1.1.9</t>
  </si>
  <si>
    <t xml:space="preserve">        PNM-010: Acknowledge Incoming Equipment — Receiver ECR</t>
  </si>
  <si>
    <t>1.1.9.1</t>
  </si>
  <si>
    <t>1.1.9.2</t>
  </si>
  <si>
    <t>1.1.9.3</t>
  </si>
  <si>
    <t>1.1.10</t>
  </si>
  <si>
    <t xml:space="preserve">        PNM-011: Auto-Complete Equipment Transfer</t>
  </si>
  <si>
    <t>1.1.10.1</t>
  </si>
  <si>
    <t>1.1.10.2</t>
  </si>
  <si>
    <t>1.1.10.3</t>
  </si>
  <si>
    <t>1.1.11</t>
  </si>
  <si>
    <t xml:space="preserve">        PNM-012: Resolve ECR Dispute</t>
  </si>
  <si>
    <t>1.1.11.1</t>
  </si>
  <si>
    <t>1.1.11.2</t>
  </si>
  <si>
    <t>1.1.11.3</t>
  </si>
  <si>
    <t>1.1.12</t>
  </si>
  <si>
    <t xml:space="preserve">        PNM-013: View Transfers (ECR) List</t>
  </si>
  <si>
    <t>1.1.12.1</t>
  </si>
  <si>
    <t>1.1.12.2</t>
  </si>
  <si>
    <t>1.1.13</t>
  </si>
  <si>
    <t xml:space="preserve">        PNM-014: Raise Gate Pass for Off-Site Repair</t>
  </si>
  <si>
    <t>1.1.13.1</t>
  </si>
  <si>
    <t>1.1.13.2</t>
  </si>
  <si>
    <t>1.1.13.3</t>
  </si>
  <si>
    <t>1.1.14</t>
  </si>
  <si>
    <t xml:space="preserve">        PNM-015: Record Gate Pass Return</t>
  </si>
  <si>
    <t>1.1.14.1</t>
  </si>
  <si>
    <t>1.1.14.2</t>
  </si>
  <si>
    <t>1.1.14.3</t>
  </si>
  <si>
    <t>1.1.15</t>
  </si>
  <si>
    <t xml:space="preserve">        PNM-016: Record Meter Replacement</t>
  </si>
  <si>
    <t>1.1.15.1</t>
  </si>
  <si>
    <t>1.1.15.2</t>
  </si>
  <si>
    <t>1.1.15.3</t>
  </si>
  <si>
    <t>1.1.16</t>
  </si>
  <si>
    <t xml:space="preserve">        PNM-017: View Equipment Availability / Dashboard Widgets</t>
  </si>
  <si>
    <t>1.1.16.1</t>
  </si>
  <si>
    <t>1.1.16.2</t>
  </si>
  <si>
    <t>1.1.16.3</t>
  </si>
  <si>
    <t xml:space="preserve">    Epic 2: Daily Equipment Checklist</t>
  </si>
  <si>
    <t xml:space="preserve">        PNM-018: Configure Checklist Template per Equipment Category</t>
  </si>
  <si>
    <t xml:space="preserve">        PNM-019: Submit Daily Equipment Checklist</t>
  </si>
  <si>
    <t xml:space="preserve">        PNM-020: Trigger Safety Notification on Not-OK Safety-Flagged Item</t>
  </si>
  <si>
    <t xml:space="preserve">        PNM-021: Prompt to Raise Breakdown SR on Failed Checklist Item</t>
  </si>
  <si>
    <t xml:space="preserve">        PNM-022: View Checklist History</t>
  </si>
  <si>
    <t xml:space="preserve">    Epic 3: Digital Log Book</t>
  </si>
  <si>
    <t xml:space="preserve">        PNM-023: Claim Equipment Ownership via First Fill</t>
  </si>
  <si>
    <t xml:space="preserve">        PNM-024: Transfer Equipment Ownership</t>
  </si>
  <si>
    <t>1.3.2.1</t>
  </si>
  <si>
    <t xml:space="preserve">        PNM-025: Override Equipment Ownership (In-Charge)</t>
  </si>
  <si>
    <t xml:space="preserve">        PNM-026: Notify on No Owner by Cutoff</t>
  </si>
  <si>
    <t xml:space="preserve">        PNM-027: Non-Submission Notification &amp; Escalation Schedule</t>
  </si>
  <si>
    <t>1.3.5.1</t>
  </si>
  <si>
    <t xml:space="preserve">        PNM-028: Submit Digital Log Book Entry</t>
  </si>
  <si>
    <t xml:space="preserve">        PNM-029: View Equipment Context Panel on Log Book</t>
  </si>
  <si>
    <t>1.3.8</t>
  </si>
  <si>
    <t xml:space="preserve">        PNM-030: Evaluate PM Triggers After Log Book Submission</t>
  </si>
  <si>
    <t>1.3.8.1</t>
  </si>
  <si>
    <t>1.3.8.2</t>
  </si>
  <si>
    <t>1.3.8.3</t>
  </si>
  <si>
    <t>1.3.8.4</t>
  </si>
  <si>
    <t>1.3.9</t>
  </si>
  <si>
    <t xml:space="preserve">        PNM-031: View Log Book History</t>
  </si>
  <si>
    <t>1.3.9.1</t>
  </si>
  <si>
    <t>1.3.9.2</t>
  </si>
  <si>
    <t>1.3.9.3</t>
  </si>
  <si>
    <t>1.3.10</t>
  </si>
  <si>
    <t xml:space="preserve">        PNM-032: View Checklist &amp; Log Book Compliance Dashboard</t>
  </si>
  <si>
    <t>1.3.10.1</t>
  </si>
  <si>
    <t>1.3.10.2</t>
  </si>
  <si>
    <t>1.3.10.3</t>
  </si>
  <si>
    <t xml:space="preserve">    Epic 4: Breakdown Management</t>
  </si>
  <si>
    <t xml:space="preserve">        PNM-033: Raise Breakdown Service Request</t>
  </si>
  <si>
    <t xml:space="preserve">        PNM-034: Auto-Classify Breakdown Priority</t>
  </si>
  <si>
    <t xml:space="preserve">        PNM-035: Assign Mechanic to Breakdown SR</t>
  </si>
  <si>
    <t xml:space="preserve">        PNM-036: Reassign Mechanic on Breakdown SR</t>
  </si>
  <si>
    <t xml:space="preserve">        PNM-037: Start Work on Breakdown SR</t>
  </si>
  <si>
    <t>1.4.5.4</t>
  </si>
  <si>
    <t xml:space="preserve">        PNM-038: Record BD SR Diagnosis</t>
  </si>
  <si>
    <t>1.4.6.4</t>
  </si>
  <si>
    <t>1.4.7</t>
  </si>
  <si>
    <t xml:space="preserve">        PNM-039: Raise Spare Parts MRIS from Breakdown SR</t>
  </si>
  <si>
    <t>1.4.7.1</t>
  </si>
  <si>
    <t>1.4.7.2</t>
  </si>
  <si>
    <t>1.4.7.3</t>
  </si>
  <si>
    <t>1.4.7.4</t>
  </si>
  <si>
    <t>1.4.8</t>
  </si>
  <si>
    <t xml:space="preserve">        PNM-040: Resume Breakdown SR from On Hold</t>
  </si>
  <si>
    <t>1.4.8.1</t>
  </si>
  <si>
    <t>1.4.8.2</t>
  </si>
  <si>
    <t>1.4.8.3</t>
  </si>
  <si>
    <t>1.4.8.4</t>
  </si>
  <si>
    <t>1.4.9</t>
  </si>
  <si>
    <t xml:space="preserve">        PNM-041: Resolve Breakdown SR</t>
  </si>
  <si>
    <t>1.4.9.1</t>
  </si>
  <si>
    <t>1.4.9.2</t>
  </si>
  <si>
    <t>1.4.9.3</t>
  </si>
  <si>
    <t>1.4.9.4</t>
  </si>
  <si>
    <t>1.4.10</t>
  </si>
  <si>
    <t xml:space="preserve">        PNM-042: Capture Maintenance Activities During Breakdown Repair (PM Counter Sync)</t>
  </si>
  <si>
    <t>1.4.10.1</t>
  </si>
  <si>
    <t>1.4.10.2</t>
  </si>
  <si>
    <t>1.4.10.3</t>
  </si>
  <si>
    <t>1.4.10.4</t>
  </si>
  <si>
    <t>1.4.11</t>
  </si>
  <si>
    <t xml:space="preserve">        PNM-043: Confirm Fix and Close Breakdown SR</t>
  </si>
  <si>
    <t>1.4.11.1</t>
  </si>
  <si>
    <t>1.4.11.2</t>
  </si>
  <si>
    <t>1.4.11.3</t>
  </si>
  <si>
    <t>1.4.11.4</t>
  </si>
  <si>
    <t>1.4.12</t>
  </si>
  <si>
    <t xml:space="preserve">        PNM-044: Reopen Breakdown SR</t>
  </si>
  <si>
    <t>1.4.12.1</t>
  </si>
  <si>
    <t>1.4.12.2</t>
  </si>
  <si>
    <t>1.4.12.3</t>
  </si>
  <si>
    <t>1.4.12.4</t>
  </si>
  <si>
    <t>1.4.13</t>
  </si>
  <si>
    <t xml:space="preserve">        PNM-045: View Breakdown SR Timeline / Activity Log</t>
  </si>
  <si>
    <t>1.4.13.1</t>
  </si>
  <si>
    <t>1.4.13.2</t>
  </si>
  <si>
    <t>1.4.13.3</t>
  </si>
  <si>
    <t>1.4.14</t>
  </si>
  <si>
    <t xml:space="preserve">        PNM-046: Attach Photos to Breakdown SR</t>
  </si>
  <si>
    <t>1.4.14.1</t>
  </si>
  <si>
    <t>1.4.14.2</t>
  </si>
  <si>
    <t>1.4.14.3</t>
  </si>
  <si>
    <t>1.4.14.4</t>
  </si>
  <si>
    <t>1.4.15</t>
  </si>
  <si>
    <t xml:space="preserve">        PNM-047: Search and Filter Breakdown SR List</t>
  </si>
  <si>
    <t>1.4.15.1</t>
  </si>
  <si>
    <t>1.4.15.2</t>
  </si>
  <si>
    <t>1.4.15.3</t>
  </si>
  <si>
    <t>1.4.16</t>
  </si>
  <si>
    <t xml:space="preserve">        PNM-048: Flag and Alert on SR Ageing</t>
  </si>
  <si>
    <t>1.4.16.1</t>
  </si>
  <si>
    <t>1.4.16.2</t>
  </si>
  <si>
    <t>1.4.16.3</t>
  </si>
  <si>
    <t>1.4.16.4</t>
  </si>
  <si>
    <t xml:space="preserve">    Epic 5: Preventive Maintenance</t>
  </si>
  <si>
    <t xml:space="preserve">        PNM-049: Auto-Generate PM Service Request</t>
  </si>
  <si>
    <t xml:space="preserve">        PNM-050: Manually Create PM Service Request</t>
  </si>
  <si>
    <t xml:space="preserve">        PNM-051: Assign Mechanic to PM SR</t>
  </si>
  <si>
    <t>1.5.3.4</t>
  </si>
  <si>
    <t xml:space="preserve">        PNM-052: Execute PM Checklist and Mark Item Outcomes</t>
  </si>
  <si>
    <t>1.5.4.4</t>
  </si>
  <si>
    <t xml:space="preserve">        PNM-053: Review and Decide on PM Item Deferrals at Closure</t>
  </si>
  <si>
    <t xml:space="preserve">        PNM-054: Close Preventive Maintenance SR</t>
  </si>
  <si>
    <t>1.5.6.1</t>
  </si>
  <si>
    <t xml:space="preserve">        PNM-055: View PM Schedule and Compliance Status</t>
  </si>
  <si>
    <t>1.5.7.1</t>
  </si>
  <si>
    <t xml:space="preserve">        PNM-056: View PM History</t>
  </si>
  <si>
    <t>1.5.8.1</t>
  </si>
  <si>
    <t xml:space="preserve">    Epic 8: Fuel/Spare Parts MRIS</t>
  </si>
  <si>
    <t xml:space="preserve">        PNM-069: Select Spare Parts for SR-Linked MRIS</t>
  </si>
  <si>
    <t xml:space="preserve">        PNM-070: Approve Spare Parts MRIS</t>
  </si>
  <si>
    <t>1.6.2.4</t>
  </si>
  <si>
    <t xml:space="preserve">        PNM-071: Issue Material Against Spare Parts MRIS</t>
  </si>
  <si>
    <t>1.6.3.4</t>
  </si>
  <si>
    <t xml:space="preserve">        PNM-072: Acknowledge Spare Parts Receipt</t>
  </si>
  <si>
    <t>1.6.4.4</t>
  </si>
  <si>
    <t>1.6.5</t>
  </si>
  <si>
    <t xml:space="preserve">        PNM-073: View Spare Parts Consumption History</t>
  </si>
  <si>
    <t>1.6.5.1</t>
  </si>
  <si>
    <t>1.6.5.2</t>
  </si>
  <si>
    <t>1.6.5.3</t>
  </si>
  <si>
    <t>1.6.6</t>
  </si>
  <si>
    <t xml:space="preserve">        PNM-074: Auto-Cancel Spare MRIS on Equipment Transfer</t>
  </si>
  <si>
    <t>1.6.6.1</t>
  </si>
  <si>
    <t>1.6.6.2</t>
  </si>
  <si>
    <t>1.6.6.3</t>
  </si>
  <si>
    <t>1.6.6.4</t>
  </si>
  <si>
    <t xml:space="preserve">    Epic 9: Reports &amp; Analytics</t>
  </si>
  <si>
    <t xml:space="preserve">        PNM-076: View Equipment Utilization Report</t>
  </si>
  <si>
    <t xml:space="preserve">        PNM-077: View Downtime Report (Total, MTTR, Net Repair Time, Hold Breakdown)</t>
  </si>
  <si>
    <t xml:space="preserve">        PNM-078: View Breakdown Reports</t>
  </si>
  <si>
    <t xml:space="preserve">        PNM-079: View PM Reports (Adherence &amp; Deferral Summary)</t>
  </si>
  <si>
    <t xml:space="preserve">        PNM-080: View Fuel Consumption Report</t>
  </si>
  <si>
    <t xml:space="preserve">        PNM-081: View Spare Parts Consumption Report</t>
  </si>
  <si>
    <t>1.7.6.3</t>
  </si>
  <si>
    <t>1.7.7</t>
  </si>
  <si>
    <t xml:space="preserve">        PNM-082: View Idle Equipment Report</t>
  </si>
  <si>
    <t>1.7.7.1</t>
  </si>
  <si>
    <t>1.7.7.2</t>
  </si>
  <si>
    <t>1.7.7.3</t>
  </si>
  <si>
    <t>1.7.8</t>
  </si>
  <si>
    <t xml:space="preserve">        PNM-083: Detect and Report Recurring Failures</t>
  </si>
  <si>
    <t>1.7.8.1</t>
  </si>
  <si>
    <t>1.7.8.2</t>
  </si>
  <si>
    <t>1.7.8.3</t>
  </si>
  <si>
    <t>1.7.8.4</t>
  </si>
  <si>
    <t>1.7.9</t>
  </si>
  <si>
    <t xml:space="preserve">        PNM-084: View Mechanic Performance Report</t>
  </si>
  <si>
    <t>1.7.9.1</t>
  </si>
  <si>
    <t>1.7.9.2</t>
  </si>
  <si>
    <t>1.7.9.3</t>
  </si>
  <si>
    <t>1.7.10</t>
  </si>
  <si>
    <t xml:space="preserve">        PNM-085: Export and Print Reports</t>
  </si>
  <si>
    <t>1.7.10.1</t>
  </si>
  <si>
    <t>1.7.10.2</t>
  </si>
  <si>
    <t>1.7.10.3</t>
  </si>
  <si>
    <t>1.7.10.4</t>
  </si>
  <si>
    <t xml:space="preserve">    Epic 10: Masters</t>
  </si>
  <si>
    <t>1.10.1</t>
  </si>
  <si>
    <t xml:space="preserve">        PNM-086: Configure Maintenance Activity Details Master</t>
  </si>
  <si>
    <t>1.10.1.1</t>
  </si>
  <si>
    <t>1.10.1.2</t>
  </si>
  <si>
    <t>1.10.1.3</t>
  </si>
  <si>
    <t xml:space="preserve">        PNM-087: Configure Equipment Checklist Points Master</t>
  </si>
  <si>
    <t>1.10.2.1</t>
  </si>
  <si>
    <t>1.10.2.2</t>
  </si>
  <si>
    <t>1.10.3</t>
  </si>
  <si>
    <t xml:space="preserve">        PNM-088: Configure Breakdown Reason Codes Master</t>
  </si>
  <si>
    <t>1.10.3.1</t>
  </si>
  <si>
    <t>1.10.3.2</t>
  </si>
  <si>
    <t>1.10.3.3</t>
  </si>
  <si>
    <t>1.10.4</t>
  </si>
  <si>
    <t xml:space="preserve">        PNM-089: Configure Sub-Part Names Master</t>
  </si>
  <si>
    <t>1.10.4.1</t>
  </si>
  <si>
    <t>1.10.4.2</t>
  </si>
  <si>
    <t>1.10.4.3</t>
  </si>
  <si>
    <t>1.10.5</t>
  </si>
  <si>
    <t xml:space="preserve">        PNM-090: Configure In-house Maintenance Remarks Master</t>
  </si>
  <si>
    <t>1.10.5.1</t>
  </si>
  <si>
    <t>1.10.5.2</t>
  </si>
  <si>
    <t>1.10.5.3</t>
  </si>
  <si>
    <t>1.10.6</t>
  </si>
  <si>
    <t xml:space="preserve">        PNM-091: Configure Specification Field Definitions Master</t>
  </si>
  <si>
    <t>1.10.6.1</t>
  </si>
  <si>
    <t>1.10.6.2</t>
  </si>
  <si>
    <t>1.10.6.3</t>
  </si>
  <si>
    <t>1.10.7</t>
  </si>
  <si>
    <t xml:space="preserve">        PNM-092: Configure Work Description Types Master</t>
  </si>
  <si>
    <t>1.10.7.1</t>
  </si>
  <si>
    <t>1.10.7.2</t>
  </si>
  <si>
    <t>1.10.7.3</t>
  </si>
  <si>
    <t>1.10.8</t>
  </si>
  <si>
    <t xml:space="preserve">        PNM-093: Configure Failure Type Master</t>
  </si>
  <si>
    <t>1.10.8.1</t>
  </si>
  <si>
    <t>1.10.8.2</t>
  </si>
  <si>
    <t>1.10.8.3</t>
  </si>
  <si>
    <t>1.10.9</t>
  </si>
  <si>
    <t xml:space="preserve">        PNM-094: Configure Sub-System Master</t>
  </si>
  <si>
    <t>1.10.9.1</t>
  </si>
  <si>
    <t>1.10.9.2</t>
  </si>
  <si>
    <t>1.10.9.3</t>
  </si>
  <si>
    <t>1.10.10</t>
  </si>
  <si>
    <t xml:space="preserve">        PNM-095: Configure Location Master</t>
  </si>
  <si>
    <t>1.10.10.1</t>
  </si>
  <si>
    <t>1.10.10.2</t>
  </si>
  <si>
    <t>1.10.10.3</t>
  </si>
  <si>
    <t>1.10.11</t>
  </si>
  <si>
    <t xml:space="preserve">        PNM-096: Configure Fuel Type Master</t>
  </si>
  <si>
    <t>1.10.11.1</t>
  </si>
  <si>
    <t>1.10.11.2</t>
  </si>
  <si>
    <t>1.10.11.3</t>
  </si>
  <si>
    <t>1.10.12</t>
  </si>
  <si>
    <t xml:space="preserve">        PNM-097: Configure Material / Spare Parts Catalogue</t>
  </si>
  <si>
    <t>1.10.12.1</t>
  </si>
  <si>
    <t>1.10.12.2</t>
  </si>
  <si>
    <t>1.10.12.3</t>
  </si>
  <si>
    <t>1.10.13</t>
  </si>
  <si>
    <t xml:space="preserve">        PNM-098: Configure PM Schedule Master</t>
  </si>
  <si>
    <t>1.10.13.1</t>
  </si>
  <si>
    <t>1.10.13.2</t>
  </si>
  <si>
    <t>1.10.13.3</t>
  </si>
  <si>
    <t>1.10.14</t>
  </si>
  <si>
    <t xml:space="preserve">        PNM-099: Configure Opening Counter Readings (Equipment-Level)</t>
  </si>
  <si>
    <t>1.10.14.1</t>
  </si>
  <si>
    <t>1.10.14.2</t>
  </si>
  <si>
    <t>1.10.14.3</t>
  </si>
  <si>
    <t>1.10.15</t>
  </si>
  <si>
    <t xml:space="preserve">        PNM-100: Configure Maintenance Points (Equipment-Level)</t>
  </si>
  <si>
    <t>1.10.15.1</t>
  </si>
  <si>
    <t>1.10.15.2</t>
  </si>
  <si>
    <t>1.10.15.3</t>
  </si>
  <si>
    <t>1.10.16</t>
  </si>
  <si>
    <t xml:space="preserve">        PNM-101: Configure Sub-Part Details and Specification Values (Equipment-Level)</t>
  </si>
  <si>
    <t>1.10.16.1</t>
  </si>
  <si>
    <t>1.10.16.2</t>
  </si>
  <si>
    <t>1.10.16.3</t>
  </si>
  <si>
    <t>HIMAPP 2.0 — Store Module Implementation</t>
  </si>
  <si>
    <t xml:space="preserve">    Epic 1: Store Master Data &amp; Configuration</t>
  </si>
  <si>
    <t xml:space="preserve">        US-01: Configure Gate Pass Type Master with Seeded Values</t>
  </si>
  <si>
    <t xml:space="preserve">        US-02: Configure Consignment Material Owner Master</t>
  </si>
  <si>
    <t xml:space="preserve">        US-03: Sync D365 Master Data (Item, Item on Hand, Activity, Equipment)</t>
  </si>
  <si>
    <t xml:space="preserve">        US-04: Configure Store Behaviour per Project</t>
  </si>
  <si>
    <t xml:space="preserve">    Epic 2: Gate Pass — Creation &amp; Approval</t>
  </si>
  <si>
    <t xml:space="preserve">        US-05: Store In-Charge Creates Direct Gate Pass with Auto-Generated Number (Path A)</t>
  </si>
  <si>
    <t xml:space="preserve">        US-06: Add Multiple Line Items of Mixed Types on One Gate Pass</t>
  </si>
  <si>
    <t xml:space="preserve">        US-07: Guided 3-Step Creation Wizard with Field Validations</t>
  </si>
  <si>
    <t xml:space="preserve">        US-08: P&amp;M In-Charge Requests SR-Linked Gate Pass from SR Screen (Path B)</t>
  </si>
  <si>
    <t xml:space="preserve">        US-09: Store Approves or Rejects SR-Linked Gate Pass Request</t>
  </si>
  <si>
    <t xml:space="preserve">        US-10: Two-Level Approval Workflow (L1 Store In-Charge, L2 Project Manager)</t>
  </si>
  <si>
    <t xml:space="preserve">        US-11: Approval Inbox with Ageing Reminders and Escalation</t>
  </si>
  <si>
    <t xml:space="preserve">        US-12: Cancel Gate Pass with Immutable Mandatory Reason</t>
  </si>
  <si>
    <t xml:space="preserve">        US-13: Backdated Gate Pass Entry with Mandatory Reason</t>
  </si>
  <si>
    <t>1.2.9.4</t>
  </si>
  <si>
    <t xml:space="preserve">    Epic 3: Gate Pass — Movement, Returns &amp; Closure</t>
  </si>
  <si>
    <t xml:space="preserve">        US-14: Record Departure / Dispatch of Approved Outward Gate Pass</t>
  </si>
  <si>
    <t xml:space="preserve">        US-15: Record Inward Receipt for Inward Gate Passes</t>
  </si>
  <si>
    <t xml:space="preserve">        US-16: Record Full and Partial Returns with Per-Line Condition</t>
  </si>
  <si>
    <t xml:space="preserve">        US-17: Raise Quantity Adjustment for Unreturnable Pending Quantity</t>
  </si>
  <si>
    <t xml:space="preserve">        US-18: Approve Adjustment with Segregation of Duties (Different L1 + PM L2)</t>
  </si>
  <si>
    <t xml:space="preserve">        US-19: Close Gate Pass at Zero Pending Quantity</t>
  </si>
  <si>
    <t xml:space="preserve">        US-20: Track and Alert Overdue Returns</t>
  </si>
  <si>
    <t>1.3.7.4</t>
  </si>
  <si>
    <t xml:space="preserve">        US-21: Generate Gate Pass PDF Document with Signatures</t>
  </si>
  <si>
    <t xml:space="preserve">        US-22: Gate Pass List View with Search, Filters and Overdue Flags</t>
  </si>
  <si>
    <t>1.3.9.4</t>
  </si>
  <si>
    <t xml:space="preserve">        US-23: Offline Gate Pass Creation with Sync on Reconnect</t>
  </si>
  <si>
    <t>1.3.10.4</t>
  </si>
  <si>
    <t xml:space="preserve">    Epic 4: Consignment Material Tracking</t>
  </si>
  <si>
    <t xml:space="preserve">        US-24: Prompt Consignment Flag on Inward Gate Pass and Auto-Create Consignment Record</t>
  </si>
  <si>
    <t xml:space="preserve">        US-25: Create Consignment Record Manually</t>
  </si>
  <si>
    <t xml:space="preserve">        US-26: Record Consignment Consumption with Balance Hard Block</t>
  </si>
  <si>
    <t xml:space="preserve">        US-27: Record Return of Unused Consignment Material to Owner</t>
  </si>
  <si>
    <t xml:space="preserve">        US-28: Generate Consignment Return Document PDF with Reconciliation Summary</t>
  </si>
  <si>
    <t xml:space="preserve">        US-29: Auto-Derive Consignment Status Across the Lifecycle</t>
  </si>
  <si>
    <t xml:space="preserve">        US-30: Flag Client Supplied Balances Nearing Project End</t>
  </si>
  <si>
    <t xml:space="preserve">        US-31: Consignment List with Owner-Type and Status Filters</t>
  </si>
  <si>
    <t xml:space="preserve">        US-32: Maintain Vendor Sample Register with No Stock Impact</t>
  </si>
  <si>
    <t xml:space="preserve">    Epic 5: MRIS — Requisition, Approval &amp; Issue</t>
  </si>
  <si>
    <t xml:space="preserve">        US-33: Raise General Store MRIS with Mandatory Activity Allocation</t>
  </si>
  <si>
    <t xml:space="preserve">        US-34: Raise SR-Linked Spare Parts MRIS from Within SR</t>
  </si>
  <si>
    <t xml:space="preserve">        US-35: Raise Fuel MRIS with 4-Party Anti-Theft Workflow</t>
  </si>
  <si>
    <t xml:space="preserve">        US-36: Flag Fuel Discrepancy Immutably and Notify Management</t>
  </si>
  <si>
    <t xml:space="preserve">        US-37: Approve or Reject MRIS per Entry-Point Approver Configuration</t>
  </si>
  <si>
    <t xml:space="preserve">        US-38: Store Issues MRIS with Real-Time Availability Re-Validation</t>
  </si>
  <si>
    <t xml:space="preserve">        US-39: Partial Fulfilment with Auto-Created Back-Order MRIS</t>
  </si>
  <si>
    <t xml:space="preserve">        US-40: D365 Write-Back on Issue with Silent-Failure Retry Policy</t>
  </si>
  <si>
    <t xml:space="preserve">        US-41: Daily D365 Reconciliation Report</t>
  </si>
  <si>
    <t xml:space="preserve">        US-42: Auto-Cancel Open MRIS on Equipment Transfer (ECR) Completion</t>
  </si>
  <si>
    <t xml:space="preserve">        US-43: Auto-Generate PPE MRIS from Safety Module Issuance</t>
  </si>
  <si>
    <t xml:space="preserve">        US-44: MRIS Queue with Entry-Point, Status and Project Filters</t>
  </si>
  <si>
    <t xml:space="preserve">    Epic 6: Store Dashboard &amp; Reports</t>
  </si>
  <si>
    <t xml:space="preserve">        US-45: Store Dashboard KPI Cards Across All Features</t>
  </si>
  <si>
    <t xml:space="preserve">        US-46: Dashboard Active Queues (MRIS, Gate Pass, Overdue, Consignment)</t>
  </si>
  <si>
    <t xml:space="preserve">        US-47: Dashboard Summary Panels (Gate Activity, MRIS Mix, D365 Status)</t>
  </si>
  <si>
    <t xml:space="preserve">        US-48: Management Summary View for PM and P&amp;M HOD</t>
  </si>
  <si>
    <t xml:space="preserve">        US-49: Gate Pass Reports &amp; Analytics with Export</t>
  </si>
  <si>
    <t xml:space="preserve">    Epic 7: Roles, Notifications, Integrations &amp; NFRs</t>
  </si>
  <si>
    <t xml:space="preserve">        US-50: Enforce Store vs P&amp;M Role Boundaries and Project Scope</t>
  </si>
  <si>
    <t xml:space="preserve">        US-51: Deliver Store Notification Matrix N-01 to N-13 Across Channels</t>
  </si>
  <si>
    <t xml:space="preserve">        US-52: Immutable Records, No Hard Deletes, and Complete Audit Trail</t>
  </si>
  <si>
    <t xml:space="preserve">        US-53: Meet Store Module Performance and Responsiveness Targets</t>
  </si>
  <si>
    <t>Module-wise Schedule (modules sequential, 3 working-day buffer between modules)</t>
  </si>
  <si>
    <t>Total Hours</t>
  </si>
  <si>
    <t>Working Days</t>
  </si>
  <si>
    <t>TOTAL</t>
  </si>
  <si>
    <t>Developer-wise Hours by Module (developers work in parallel)</t>
  </si>
  <si>
    <t>First Task Start</t>
  </si>
  <si>
    <t>Last Task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</si>
</sst>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color rgb="FF808080"/>
      <name val="Arial"/>
      <charset val="1"/>
    </font>
    <font>
      <sz val="10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3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203864"/>
      </patternFill>
    </fill>
    <fill>
      <patternFill patternType="solid">
        <fgColor rgb="FF4472C4"/>
        <bgColor rgb="FF666699"/>
      </patternFill>
    </fill>
    <fill>
      <patternFill patternType="solid">
        <fgColor rgb="FF20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0" xfId="0" applyNumberFormat="1" applyFont="1" applyFill="1"/>
    <xf numFmtId="0" fontId="3" fillId="2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6" fillId="0" borderId="0" xfId="0" applyNumberFormat="1" applyFont="1"/>
    <xf numFmtId="0" fontId="7" fillId="0" borderId="0" xfId="0" applyFont="1"/>
    <xf numFmtId="0" fontId="5" fillId="4" borderId="0" xfId="0" applyFont="1" applyFill="1"/>
    <xf numFmtId="164" fontId="3" fillId="0" borderId="0" xfId="0" applyNumberFormat="1" applyFont="1"/>
    <xf numFmtId="0" fontId="8" fillId="0" borderId="0" xfId="0" applyFont="1"/>
    <xf numFmtId="0" fontId="9" fillId="0" borderId="0" xfId="0" applyFont="1"/>
    <xf numFmtId="0" fontId="5" fillId="3" borderId="0" xfId="0" applyFont="1" applyFill="1" applyAlignment="1">
      <alignment horizontal="center" vertical="center" wrapText="1"/>
    </xf>
    <xf numFmtId="0" fontId="5" fillId="5" borderId="1" xfId="0" applyFont="1" applyFill="1" applyBorder="1"/>
    <xf numFmtId="1" fontId="5" fillId="5" borderId="1" xfId="0" applyNumberFormat="1" applyFont="1" applyFill="1" applyBorder="1" applyAlignment="1">
      <alignment horizontal="center"/>
    </xf>
    <xf numFmtId="164" fontId="5" fillId="5" borderId="1" xfId="0" applyNumberFormat="1" applyFont="1" applyFill="1" applyBorder="1"/>
    <xf numFmtId="0" fontId="2" fillId="6" borderId="1" xfId="0" applyFont="1" applyFill="1" applyBorder="1"/>
    <xf numFmtId="1" fontId="2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/>
    <xf numFmtId="0" fontId="9" fillId="7" borderId="1" xfId="0" applyFont="1" applyFill="1" applyBorder="1"/>
    <xf numFmtId="1" fontId="9" fillId="7" borderId="1" xfId="0" applyNumberFormat="1" applyFont="1" applyFill="1" applyBorder="1" applyAlignment="1">
      <alignment horizontal="center"/>
    </xf>
    <xf numFmtId="164" fontId="9" fillId="7" borderId="1" xfId="0" applyNumberFormat="1" applyFont="1" applyFill="1" applyBorder="1"/>
    <xf numFmtId="0" fontId="8" fillId="0" borderId="1" xfId="0" applyFont="1" applyBorder="1"/>
    <xf numFmtId="1" fontId="8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4" fontId="8" fillId="0" borderId="1" xfId="0" applyNumberFormat="1" applyFont="1" applyBorder="1"/>
    <xf numFmtId="0" fontId="10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Normal="100" workbookViewId="0">
      <selection activeCell="B5" sqref="B5"/>
    </sheetView>
  </sheetViews>
  <sheetFormatPr defaultColWidth="8.7109375" defaultRowHeight="15" x14ac:dyDescent="0.25"/>
  <cols>
    <col min="1" max="1" width="38" customWidth="1"/>
    <col min="2" max="2" width="20" customWidth="1"/>
    <col min="3" max="4" width="18" customWidth="1"/>
  </cols>
  <sheetData>
    <row r="1" spans="1:4" ht="18" x14ac:dyDescent="0.25">
      <c r="A1" s="1" t="s">
        <v>0</v>
      </c>
    </row>
    <row r="3" spans="1:4" x14ac:dyDescent="0.25">
      <c r="A3" s="2" t="s">
        <v>1</v>
      </c>
      <c r="B3" s="3">
        <v>46219</v>
      </c>
    </row>
    <row r="4" spans="1:4" x14ac:dyDescent="0.25">
      <c r="A4" s="2" t="s">
        <v>2</v>
      </c>
      <c r="B4" s="4">
        <v>7</v>
      </c>
    </row>
    <row r="5" spans="1:4" x14ac:dyDescent="0.25">
      <c r="A5" s="2" t="s">
        <v>3</v>
      </c>
      <c r="B5" s="4">
        <v>7</v>
      </c>
    </row>
    <row r="8" spans="1:4" ht="15.75" x14ac:dyDescent="0.25">
      <c r="A8" s="5" t="s">
        <v>4</v>
      </c>
    </row>
    <row r="9" spans="1:4" x14ac:dyDescent="0.25">
      <c r="A9" s="6" t="s">
        <v>5</v>
      </c>
      <c r="B9" s="6" t="s">
        <v>6</v>
      </c>
      <c r="C9" s="6" t="s">
        <v>7</v>
      </c>
      <c r="D9" s="6" t="s">
        <v>8</v>
      </c>
    </row>
    <row r="10" spans="1:4" x14ac:dyDescent="0.25">
      <c r="A10" s="7">
        <v>1</v>
      </c>
      <c r="B10" t="s">
        <v>9</v>
      </c>
      <c r="C10" s="8">
        <f>$B$3</f>
        <v>46219</v>
      </c>
      <c r="D10" s="9">
        <f>WORKDAY($C10,-1,Holidays)</f>
        <v>46218</v>
      </c>
    </row>
    <row r="11" spans="1:4" x14ac:dyDescent="0.25">
      <c r="A11" s="7">
        <v>2</v>
      </c>
      <c r="B11" t="s">
        <v>10</v>
      </c>
      <c r="C11" s="8">
        <f>WORKDAY('All Modules WBS'!$J$2,$B$5+1,Holidays)</f>
        <v>46260</v>
      </c>
      <c r="D11" s="9">
        <f>WORKDAY($C11,-1,Holidays)</f>
        <v>46259</v>
      </c>
    </row>
    <row r="12" spans="1:4" x14ac:dyDescent="0.25">
      <c r="A12" s="7">
        <v>3</v>
      </c>
      <c r="B12" t="s">
        <v>11</v>
      </c>
      <c r="C12" s="8">
        <f>WORKDAY('All Modules WBS'!$J$223,$B$5+1,Holidays)</f>
        <v>46293</v>
      </c>
      <c r="D12" s="9">
        <f>WORKDAY($C12,-1,Holidays)</f>
        <v>46290</v>
      </c>
    </row>
    <row r="13" spans="1:4" x14ac:dyDescent="0.25">
      <c r="A13" s="7">
        <v>4</v>
      </c>
      <c r="B13" t="s">
        <v>12</v>
      </c>
      <c r="C13" s="8">
        <f>WORKDAY('All Modules WBS'!$J$433,$B$5+1,Holidays)</f>
        <v>46336</v>
      </c>
      <c r="D13" s="9">
        <f>WORKDAY($C13,-1,Holidays)</f>
        <v>46335</v>
      </c>
    </row>
    <row r="14" spans="1:4" x14ac:dyDescent="0.25">
      <c r="A14" s="7">
        <v>5</v>
      </c>
      <c r="B14" t="s">
        <v>13</v>
      </c>
      <c r="C14" s="8">
        <f>WORKDAY('All Modules WBS'!$J$620,$B$5+1,Holidays)</f>
        <v>46401</v>
      </c>
      <c r="D14" s="9">
        <f>WORKDAY($C14,-1,Holidays)</f>
        <v>46400</v>
      </c>
    </row>
    <row r="17" spans="1:1" x14ac:dyDescent="0.25">
      <c r="A17" s="10"/>
    </row>
    <row r="18" spans="1:1" x14ac:dyDescent="0.25">
      <c r="A18" s="10" t="s">
        <v>14</v>
      </c>
    </row>
    <row r="19" spans="1:1" x14ac:dyDescent="0.25">
      <c r="A19" s="10" t="s">
        <v>15</v>
      </c>
    </row>
    <row r="20" spans="1:1" x14ac:dyDescent="0.25">
      <c r="A20" s="10" t="s">
        <v>16</v>
      </c>
    </row>
    <row r="21" spans="1:1" x14ac:dyDescent="0.25">
      <c r="A21" s="10" t="s">
        <v>17</v>
      </c>
    </row>
    <row r="22" spans="1:1" x14ac:dyDescent="0.25">
      <c r="A22" s="10" t="s">
        <v>18</v>
      </c>
    </row>
    <row r="23" spans="1:1" x14ac:dyDescent="0.25">
      <c r="A23" s="10" t="s">
        <v>19</v>
      </c>
    </row>
    <row r="24" spans="1:1" x14ac:dyDescent="0.25">
      <c r="A24" s="10" t="s">
        <v>20</v>
      </c>
    </row>
    <row r="25" spans="1:1" x14ac:dyDescent="0.25">
      <c r="A25" s="10" t="s">
        <v>21</v>
      </c>
    </row>
    <row r="26" spans="1:1" x14ac:dyDescent="0.25">
      <c r="A26" s="10" t="s">
        <v>22</v>
      </c>
    </row>
    <row r="27" spans="1:1" x14ac:dyDescent="0.25">
      <c r="A27" s="10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16" customWidth="1"/>
    <col min="2" max="2" width="34" customWidth="1"/>
    <col min="4" max="4" width="100" customWidth="1"/>
  </cols>
  <sheetData>
    <row r="1" spans="1:4" x14ac:dyDescent="0.25">
      <c r="A1" s="11" t="s">
        <v>24</v>
      </c>
      <c r="B1" s="11" t="s">
        <v>25</v>
      </c>
    </row>
    <row r="2" spans="1:4" x14ac:dyDescent="0.25">
      <c r="A2" s="12">
        <v>46249</v>
      </c>
      <c r="B2" s="13" t="s">
        <v>26</v>
      </c>
      <c r="D2" s="14" t="s">
        <v>27</v>
      </c>
    </row>
    <row r="3" spans="1:4" x14ac:dyDescent="0.25">
      <c r="A3" s="12">
        <v>46297</v>
      </c>
      <c r="B3" s="13" t="s">
        <v>28</v>
      </c>
    </row>
    <row r="4" spans="1:4" x14ac:dyDescent="0.25">
      <c r="A4" s="12">
        <v>46381</v>
      </c>
      <c r="B4" s="13" t="s">
        <v>29</v>
      </c>
    </row>
    <row r="5" spans="1:4" x14ac:dyDescent="0.25">
      <c r="A5" s="12">
        <v>46413</v>
      </c>
      <c r="B5" s="1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37"/>
  <sheetViews>
    <sheetView zoomScaleNormal="100" workbookViewId="0">
      <pane ySplit="1" topLeftCell="A320" activePane="bottomLeft" state="frozen"/>
      <selection pane="bottomLeft" activeCell="C1219" sqref="C1219"/>
    </sheetView>
  </sheetViews>
  <sheetFormatPr defaultColWidth="8.7109375" defaultRowHeight="15" x14ac:dyDescent="0.25"/>
  <cols>
    <col min="1" max="2" width="11" customWidth="1"/>
    <col min="3" max="3" width="64" customWidth="1"/>
    <col min="4" max="4" width="11" customWidth="1"/>
    <col min="5" max="5" width="10" customWidth="1"/>
    <col min="6" max="6" width="11" customWidth="1"/>
    <col min="7" max="8" width="9" customWidth="1"/>
    <col min="9" max="9" width="15.7109375" bestFit="1" customWidth="1"/>
    <col min="10" max="10" width="14.85546875" bestFit="1" customWidth="1"/>
  </cols>
  <sheetData>
    <row r="1" spans="1:10" ht="30" x14ac:dyDescent="0.25">
      <c r="A1" s="15" t="s">
        <v>6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 t="s">
        <v>38</v>
      </c>
      <c r="J1" s="15" t="s">
        <v>39</v>
      </c>
    </row>
    <row r="2" spans="1:10" x14ac:dyDescent="0.25">
      <c r="A2" s="16" t="s">
        <v>9</v>
      </c>
      <c r="B2" s="16" t="s">
        <v>40</v>
      </c>
      <c r="C2" s="16" t="s">
        <v>41</v>
      </c>
      <c r="D2" s="16" t="s">
        <v>42</v>
      </c>
      <c r="E2" s="17">
        <f>SUMIF($D3:$D222,"Task",$E3:$E222)</f>
        <v>564</v>
      </c>
      <c r="F2" s="16"/>
      <c r="G2" s="17"/>
      <c r="H2" s="17"/>
      <c r="I2" s="18">
        <f>MIN($I3:$I222)</f>
        <v>46219</v>
      </c>
      <c r="J2" s="18">
        <f>MAX($J3:$J222)</f>
        <v>46248</v>
      </c>
    </row>
    <row r="3" spans="1:10" x14ac:dyDescent="0.25">
      <c r="A3" s="19" t="s">
        <v>9</v>
      </c>
      <c r="B3" s="19" t="s">
        <v>43</v>
      </c>
      <c r="C3" s="19" t="s">
        <v>44</v>
      </c>
      <c r="D3" s="19" t="s">
        <v>45</v>
      </c>
      <c r="E3" s="20">
        <f>SUMIF($D4:$D18,"Task",$E4:$E18)</f>
        <v>40</v>
      </c>
      <c r="F3" s="19"/>
      <c r="G3" s="20"/>
      <c r="H3" s="20"/>
      <c r="I3" s="21">
        <f>MIN($I4:$I18)</f>
        <v>46219</v>
      </c>
      <c r="J3" s="21">
        <f>MAX($J4:$J18)</f>
        <v>46223</v>
      </c>
    </row>
    <row r="4" spans="1:10" x14ac:dyDescent="0.25">
      <c r="A4" s="22" t="s">
        <v>9</v>
      </c>
      <c r="B4" s="22" t="s">
        <v>46</v>
      </c>
      <c r="C4" s="22" t="s">
        <v>47</v>
      </c>
      <c r="D4" s="22" t="s">
        <v>48</v>
      </c>
      <c r="E4" s="23">
        <f>SUMIF($D5:$D8,"Task",$E5:$E8)</f>
        <v>20</v>
      </c>
      <c r="F4" s="22"/>
      <c r="G4" s="23"/>
      <c r="H4" s="23"/>
      <c r="I4" s="24">
        <f>MIN($I5:$I8)</f>
        <v>46219</v>
      </c>
      <c r="J4" s="24">
        <f>MAX($J5:$J8)</f>
        <v>46220</v>
      </c>
    </row>
    <row r="5" spans="1:10" x14ac:dyDescent="0.25">
      <c r="A5" s="25" t="s">
        <v>9</v>
      </c>
      <c r="B5" s="25" t="s">
        <v>49</v>
      </c>
      <c r="C5" s="25" t="s">
        <v>50</v>
      </c>
      <c r="D5" s="25" t="s">
        <v>51</v>
      </c>
      <c r="E5" s="26">
        <v>3</v>
      </c>
      <c r="F5" s="25" t="s">
        <v>52</v>
      </c>
      <c r="G5" s="27">
        <f>0</f>
        <v>0</v>
      </c>
      <c r="H5" s="27">
        <f>$G5+$E5</f>
        <v>3</v>
      </c>
      <c r="I5" s="28">
        <f>WORKDAY(Settings!$D$10,INT($G5/HoursPerDay)+1,Holidays)</f>
        <v>46219</v>
      </c>
      <c r="J5" s="28">
        <f>IF($E5=0,$I5,WORKDAY(Settings!$D$10,ROUNDUP($H5/HoursPerDay,0),Holidays))</f>
        <v>46219</v>
      </c>
    </row>
    <row r="6" spans="1:10" x14ac:dyDescent="0.25">
      <c r="A6" s="25" t="s">
        <v>9</v>
      </c>
      <c r="B6" s="25" t="s">
        <v>53</v>
      </c>
      <c r="C6" s="25" t="s">
        <v>54</v>
      </c>
      <c r="D6" s="25" t="s">
        <v>51</v>
      </c>
      <c r="E6" s="26">
        <v>6</v>
      </c>
      <c r="F6" s="25" t="s">
        <v>52</v>
      </c>
      <c r="G6" s="27">
        <f>$H$5</f>
        <v>3</v>
      </c>
      <c r="H6" s="27">
        <f>$G6+$E6</f>
        <v>9</v>
      </c>
      <c r="I6" s="28">
        <f>WORKDAY(Settings!$D$10,INT($G6/HoursPerDay)+1,Holidays)</f>
        <v>46219</v>
      </c>
      <c r="J6" s="28">
        <f>IF($E6=0,$I6,WORKDAY(Settings!$D$10,ROUNDUP($H6/HoursPerDay,0),Holidays))</f>
        <v>46220</v>
      </c>
    </row>
    <row r="7" spans="1:10" x14ac:dyDescent="0.25">
      <c r="A7" s="25" t="s">
        <v>9</v>
      </c>
      <c r="B7" s="25" t="s">
        <v>55</v>
      </c>
      <c r="C7" s="25" t="s">
        <v>56</v>
      </c>
      <c r="D7" s="25" t="s">
        <v>51</v>
      </c>
      <c r="E7" s="26">
        <v>5</v>
      </c>
      <c r="F7" s="25" t="s">
        <v>57</v>
      </c>
      <c r="G7" s="27">
        <f>0</f>
        <v>0</v>
      </c>
      <c r="H7" s="27">
        <f>$G7+$E7</f>
        <v>5</v>
      </c>
      <c r="I7" s="28">
        <f>WORKDAY(Settings!$D$10,INT($G7/HoursPerDay)+1,Holidays)</f>
        <v>46219</v>
      </c>
      <c r="J7" s="28">
        <f>IF($E7=0,$I7,WORKDAY(Settings!$D$10,ROUNDUP($H7/HoursPerDay,0),Holidays))</f>
        <v>46219</v>
      </c>
    </row>
    <row r="8" spans="1:10" x14ac:dyDescent="0.25">
      <c r="A8" s="25" t="s">
        <v>9</v>
      </c>
      <c r="B8" s="25" t="s">
        <v>58</v>
      </c>
      <c r="C8" s="25" t="s">
        <v>59</v>
      </c>
      <c r="D8" s="25" t="s">
        <v>51</v>
      </c>
      <c r="E8" s="26">
        <v>6</v>
      </c>
      <c r="F8" s="25" t="s">
        <v>60</v>
      </c>
      <c r="G8" s="27">
        <f>0</f>
        <v>0</v>
      </c>
      <c r="H8" s="27">
        <f>$G8+$E8</f>
        <v>6</v>
      </c>
      <c r="I8" s="28">
        <f>WORKDAY(Settings!$D$10,INT($G8/HoursPerDay)+1,Holidays)</f>
        <v>46219</v>
      </c>
      <c r="J8" s="28">
        <f>IF($E8=0,$I8,WORKDAY(Settings!$D$10,ROUNDUP($H8/HoursPerDay,0),Holidays))</f>
        <v>46219</v>
      </c>
    </row>
    <row r="9" spans="1:10" x14ac:dyDescent="0.25">
      <c r="A9" s="22" t="s">
        <v>9</v>
      </c>
      <c r="B9" s="22" t="s">
        <v>61</v>
      </c>
      <c r="C9" s="22" t="s">
        <v>62</v>
      </c>
      <c r="D9" s="22" t="s">
        <v>48</v>
      </c>
      <c r="E9" s="23">
        <f>SUMIF($D10:$D13,"Task",$E10:$E13)</f>
        <v>10</v>
      </c>
      <c r="F9" s="22"/>
      <c r="G9" s="23"/>
      <c r="H9" s="23"/>
      <c r="I9" s="24">
        <f>MIN($I10:$I13)</f>
        <v>46219</v>
      </c>
      <c r="J9" s="24">
        <f>MAX($J10:$J13)</f>
        <v>46220</v>
      </c>
    </row>
    <row r="10" spans="1:10" x14ac:dyDescent="0.25">
      <c r="A10" s="25" t="s">
        <v>9</v>
      </c>
      <c r="B10" s="25" t="s">
        <v>63</v>
      </c>
      <c r="C10" s="25" t="s">
        <v>50</v>
      </c>
      <c r="D10" s="25" t="s">
        <v>51</v>
      </c>
      <c r="E10" s="26">
        <v>2</v>
      </c>
      <c r="F10" s="25" t="s">
        <v>52</v>
      </c>
      <c r="G10" s="27">
        <f>$H$6</f>
        <v>9</v>
      </c>
      <c r="H10" s="27">
        <f>$G10+$E10</f>
        <v>11</v>
      </c>
      <c r="I10" s="28">
        <f>WORKDAY(Settings!$D$10,INT($G10/HoursPerDay)+1,Holidays)</f>
        <v>46220</v>
      </c>
      <c r="J10" s="28">
        <f>IF($E10=0,$I10,WORKDAY(Settings!$D$10,ROUNDUP($H10/HoursPerDay,0),Holidays))</f>
        <v>46220</v>
      </c>
    </row>
    <row r="11" spans="1:10" x14ac:dyDescent="0.25">
      <c r="A11" s="25" t="s">
        <v>9</v>
      </c>
      <c r="B11" s="25" t="s">
        <v>64</v>
      </c>
      <c r="C11" s="25" t="s">
        <v>54</v>
      </c>
      <c r="D11" s="25" t="s">
        <v>51</v>
      </c>
      <c r="E11" s="26">
        <v>3</v>
      </c>
      <c r="F11" s="25" t="s">
        <v>52</v>
      </c>
      <c r="G11" s="27">
        <f>$H$10</f>
        <v>11</v>
      </c>
      <c r="H11" s="27">
        <f>$G11+$E11</f>
        <v>14</v>
      </c>
      <c r="I11" s="28">
        <f>WORKDAY(Settings!$D$10,INT($G11/HoursPerDay)+1,Holidays)</f>
        <v>46220</v>
      </c>
      <c r="J11" s="28">
        <f>IF($E11=0,$I11,WORKDAY(Settings!$D$10,ROUNDUP($H11/HoursPerDay,0),Holidays))</f>
        <v>46220</v>
      </c>
    </row>
    <row r="12" spans="1:10" x14ac:dyDescent="0.25">
      <c r="A12" s="25" t="s">
        <v>9</v>
      </c>
      <c r="B12" s="25" t="s">
        <v>65</v>
      </c>
      <c r="C12" s="25" t="s">
        <v>56</v>
      </c>
      <c r="D12" s="25" t="s">
        <v>51</v>
      </c>
      <c r="E12" s="26">
        <v>3</v>
      </c>
      <c r="F12" s="25" t="s">
        <v>57</v>
      </c>
      <c r="G12" s="27">
        <f>$H$7</f>
        <v>5</v>
      </c>
      <c r="H12" s="27">
        <f>$G12+$E12</f>
        <v>8</v>
      </c>
      <c r="I12" s="28">
        <f>WORKDAY(Settings!$D$10,INT($G12/HoursPerDay)+1,Holidays)</f>
        <v>46219</v>
      </c>
      <c r="J12" s="28">
        <f>IF($E12=0,$I12,WORKDAY(Settings!$D$10,ROUNDUP($H12/HoursPerDay,0),Holidays))</f>
        <v>46220</v>
      </c>
    </row>
    <row r="13" spans="1:10" x14ac:dyDescent="0.25">
      <c r="A13" s="25" t="s">
        <v>9</v>
      </c>
      <c r="B13" s="25" t="s">
        <v>66</v>
      </c>
      <c r="C13" s="25" t="s">
        <v>59</v>
      </c>
      <c r="D13" s="25" t="s">
        <v>51</v>
      </c>
      <c r="E13" s="26">
        <v>2</v>
      </c>
      <c r="F13" s="25" t="s">
        <v>60</v>
      </c>
      <c r="G13" s="27">
        <f>$H$8</f>
        <v>6</v>
      </c>
      <c r="H13" s="27">
        <f>$G13+$E13</f>
        <v>8</v>
      </c>
      <c r="I13" s="28">
        <f>WORKDAY(Settings!$D$10,INT($G13/HoursPerDay)+1,Holidays)</f>
        <v>46219</v>
      </c>
      <c r="J13" s="28">
        <f>IF($E13=0,$I13,WORKDAY(Settings!$D$10,ROUNDUP($H13/HoursPerDay,0),Holidays))</f>
        <v>46220</v>
      </c>
    </row>
    <row r="14" spans="1:10" x14ac:dyDescent="0.25">
      <c r="A14" s="22" t="s">
        <v>9</v>
      </c>
      <c r="B14" s="22" t="s">
        <v>67</v>
      </c>
      <c r="C14" s="22" t="s">
        <v>68</v>
      </c>
      <c r="D14" s="22" t="s">
        <v>48</v>
      </c>
      <c r="E14" s="23">
        <f>SUMIF($D15:$D18,"Task",$E15:$E18)</f>
        <v>10</v>
      </c>
      <c r="F14" s="22"/>
      <c r="G14" s="23"/>
      <c r="H14" s="23"/>
      <c r="I14" s="24">
        <f>MIN($I15:$I18)</f>
        <v>46220</v>
      </c>
      <c r="J14" s="24">
        <f>MAX($J15:$J18)</f>
        <v>46223</v>
      </c>
    </row>
    <row r="15" spans="1:10" x14ac:dyDescent="0.25">
      <c r="A15" s="25" t="s">
        <v>9</v>
      </c>
      <c r="B15" s="25" t="s">
        <v>69</v>
      </c>
      <c r="C15" s="25" t="s">
        <v>50</v>
      </c>
      <c r="D15" s="25" t="s">
        <v>51</v>
      </c>
      <c r="E15" s="26">
        <v>2</v>
      </c>
      <c r="F15" s="25" t="s">
        <v>52</v>
      </c>
      <c r="G15" s="27">
        <f>$H$11</f>
        <v>14</v>
      </c>
      <c r="H15" s="27">
        <f>$G15+$E15</f>
        <v>16</v>
      </c>
      <c r="I15" s="28">
        <f>WORKDAY(Settings!$D$10,INT($G15/HoursPerDay)+1,Holidays)</f>
        <v>46223</v>
      </c>
      <c r="J15" s="28">
        <f>IF($E15=0,$I15,WORKDAY(Settings!$D$10,ROUNDUP($H15/HoursPerDay,0),Holidays))</f>
        <v>46223</v>
      </c>
    </row>
    <row r="16" spans="1:10" x14ac:dyDescent="0.25">
      <c r="A16" s="25" t="s">
        <v>9</v>
      </c>
      <c r="B16" s="25" t="s">
        <v>70</v>
      </c>
      <c r="C16" s="25" t="s">
        <v>54</v>
      </c>
      <c r="D16" s="25" t="s">
        <v>51</v>
      </c>
      <c r="E16" s="26">
        <v>3</v>
      </c>
      <c r="F16" s="25" t="s">
        <v>52</v>
      </c>
      <c r="G16" s="27">
        <f>$H$15</f>
        <v>16</v>
      </c>
      <c r="H16" s="27">
        <f>$G16+$E16</f>
        <v>19</v>
      </c>
      <c r="I16" s="28">
        <f>WORKDAY(Settings!$D$10,INT($G16/HoursPerDay)+1,Holidays)</f>
        <v>46223</v>
      </c>
      <c r="J16" s="28">
        <f>IF($E16=0,$I16,WORKDAY(Settings!$D$10,ROUNDUP($H16/HoursPerDay,0),Holidays))</f>
        <v>46223</v>
      </c>
    </row>
    <row r="17" spans="1:10" x14ac:dyDescent="0.25">
      <c r="A17" s="25" t="s">
        <v>9</v>
      </c>
      <c r="B17" s="25" t="s">
        <v>71</v>
      </c>
      <c r="C17" s="25" t="s">
        <v>56</v>
      </c>
      <c r="D17" s="25" t="s">
        <v>51</v>
      </c>
      <c r="E17" s="26">
        <v>3</v>
      </c>
      <c r="F17" s="25" t="s">
        <v>57</v>
      </c>
      <c r="G17" s="27">
        <f>$H$12</f>
        <v>8</v>
      </c>
      <c r="H17" s="27">
        <f>$G17+$E17</f>
        <v>11</v>
      </c>
      <c r="I17" s="28">
        <f>WORKDAY(Settings!$D$10,INT($G17/HoursPerDay)+1,Holidays)</f>
        <v>46220</v>
      </c>
      <c r="J17" s="28">
        <f>IF($E17=0,$I17,WORKDAY(Settings!$D$10,ROUNDUP($H17/HoursPerDay,0),Holidays))</f>
        <v>46220</v>
      </c>
    </row>
    <row r="18" spans="1:10" x14ac:dyDescent="0.25">
      <c r="A18" s="25" t="s">
        <v>9</v>
      </c>
      <c r="B18" s="25" t="s">
        <v>72</v>
      </c>
      <c r="C18" s="25" t="s">
        <v>59</v>
      </c>
      <c r="D18" s="25" t="s">
        <v>51</v>
      </c>
      <c r="E18" s="26">
        <v>2</v>
      </c>
      <c r="F18" s="25" t="s">
        <v>60</v>
      </c>
      <c r="G18" s="27">
        <f>$H$13</f>
        <v>8</v>
      </c>
      <c r="H18" s="27">
        <f>$G18+$E18</f>
        <v>10</v>
      </c>
      <c r="I18" s="28">
        <f>WORKDAY(Settings!$D$10,INT($G18/HoursPerDay)+1,Holidays)</f>
        <v>46220</v>
      </c>
      <c r="J18" s="28">
        <f>IF($E18=0,$I18,WORKDAY(Settings!$D$10,ROUNDUP($H18/HoursPerDay,0),Holidays))</f>
        <v>46220</v>
      </c>
    </row>
    <row r="19" spans="1:10" x14ac:dyDescent="0.25">
      <c r="A19" s="19" t="s">
        <v>9</v>
      </c>
      <c r="B19" s="19" t="s">
        <v>73</v>
      </c>
      <c r="C19" s="19" t="s">
        <v>74</v>
      </c>
      <c r="D19" s="19" t="s">
        <v>45</v>
      </c>
      <c r="E19" s="20">
        <f>SUMIF($D20:$D70,"Task",$E20:$E70)</f>
        <v>124</v>
      </c>
      <c r="F19" s="19"/>
      <c r="G19" s="20"/>
      <c r="H19" s="20"/>
      <c r="I19" s="21">
        <f>MIN($I20:$I70)</f>
        <v>46219</v>
      </c>
      <c r="J19" s="21">
        <f>MAX($J20:$J70)</f>
        <v>46230</v>
      </c>
    </row>
    <row r="20" spans="1:10" x14ac:dyDescent="0.25">
      <c r="A20" s="22" t="s">
        <v>9</v>
      </c>
      <c r="B20" s="22" t="s">
        <v>75</v>
      </c>
      <c r="C20" s="22" t="s">
        <v>76</v>
      </c>
      <c r="D20" s="22" t="s">
        <v>48</v>
      </c>
      <c r="E20" s="23">
        <f>SUMIF($D21:$D24,"Task",$E21:$E24)</f>
        <v>14</v>
      </c>
      <c r="F20" s="22"/>
      <c r="G20" s="23"/>
      <c r="H20" s="23"/>
      <c r="I20" s="24">
        <f>MIN($I21:$I24)</f>
        <v>46219</v>
      </c>
      <c r="J20" s="24">
        <f>MAX($J21:$J24)</f>
        <v>46223</v>
      </c>
    </row>
    <row r="21" spans="1:10" x14ac:dyDescent="0.25">
      <c r="A21" s="25" t="s">
        <v>9</v>
      </c>
      <c r="B21" s="25" t="s">
        <v>77</v>
      </c>
      <c r="C21" s="25" t="s">
        <v>50</v>
      </c>
      <c r="D21" s="25" t="s">
        <v>51</v>
      </c>
      <c r="E21" s="26">
        <v>2</v>
      </c>
      <c r="F21" s="25" t="s">
        <v>78</v>
      </c>
      <c r="G21" s="27">
        <f>0</f>
        <v>0</v>
      </c>
      <c r="H21" s="27">
        <f>$G21+$E21</f>
        <v>2</v>
      </c>
      <c r="I21" s="28">
        <f>WORKDAY(Settings!$D$10,INT($G21/HoursPerDay)+1,Holidays)</f>
        <v>46219</v>
      </c>
      <c r="J21" s="28">
        <f>IF($E21=0,$I21,WORKDAY(Settings!$D$10,ROUNDUP($H21/HoursPerDay,0),Holidays))</f>
        <v>46219</v>
      </c>
    </row>
    <row r="22" spans="1:10" x14ac:dyDescent="0.25">
      <c r="A22" s="25" t="s">
        <v>9</v>
      </c>
      <c r="B22" s="25" t="s">
        <v>79</v>
      </c>
      <c r="C22" s="25" t="s">
        <v>54</v>
      </c>
      <c r="D22" s="25" t="s">
        <v>51</v>
      </c>
      <c r="E22" s="26">
        <v>3</v>
      </c>
      <c r="F22" s="25" t="s">
        <v>78</v>
      </c>
      <c r="G22" s="27">
        <f>$H$21</f>
        <v>2</v>
      </c>
      <c r="H22" s="27">
        <f>$G22+$E22</f>
        <v>5</v>
      </c>
      <c r="I22" s="28">
        <f>WORKDAY(Settings!$D$10,INT($G22/HoursPerDay)+1,Holidays)</f>
        <v>46219</v>
      </c>
      <c r="J22" s="28">
        <f>IF($E22=0,$I22,WORKDAY(Settings!$D$10,ROUNDUP($H22/HoursPerDay,0),Holidays))</f>
        <v>46219</v>
      </c>
    </row>
    <row r="23" spans="1:10" x14ac:dyDescent="0.25">
      <c r="A23" s="25" t="s">
        <v>9</v>
      </c>
      <c r="B23" s="25" t="s">
        <v>80</v>
      </c>
      <c r="C23" s="25" t="s">
        <v>56</v>
      </c>
      <c r="D23" s="25" t="s">
        <v>51</v>
      </c>
      <c r="E23" s="26">
        <v>4</v>
      </c>
      <c r="F23" s="25" t="s">
        <v>57</v>
      </c>
      <c r="G23" s="27">
        <f>$H$17</f>
        <v>11</v>
      </c>
      <c r="H23" s="27">
        <f>$G23+$E23</f>
        <v>15</v>
      </c>
      <c r="I23" s="28">
        <f>WORKDAY(Settings!$D$10,INT($G23/HoursPerDay)+1,Holidays)</f>
        <v>46220</v>
      </c>
      <c r="J23" s="28">
        <f>IF($E23=0,$I23,WORKDAY(Settings!$D$10,ROUNDUP($H23/HoursPerDay,0),Holidays))</f>
        <v>46223</v>
      </c>
    </row>
    <row r="24" spans="1:10" x14ac:dyDescent="0.25">
      <c r="A24" s="25" t="s">
        <v>9</v>
      </c>
      <c r="B24" s="25" t="s">
        <v>81</v>
      </c>
      <c r="C24" s="25" t="s">
        <v>59</v>
      </c>
      <c r="D24" s="25" t="s">
        <v>51</v>
      </c>
      <c r="E24" s="26">
        <v>5</v>
      </c>
      <c r="F24" s="25" t="s">
        <v>60</v>
      </c>
      <c r="G24" s="27">
        <f>$H$18</f>
        <v>10</v>
      </c>
      <c r="H24" s="27">
        <f>$G24+$E24</f>
        <v>15</v>
      </c>
      <c r="I24" s="28">
        <f>WORKDAY(Settings!$D$10,INT($G24/HoursPerDay)+1,Holidays)</f>
        <v>46220</v>
      </c>
      <c r="J24" s="28">
        <f>IF($E24=0,$I24,WORKDAY(Settings!$D$10,ROUNDUP($H24/HoursPerDay,0),Holidays))</f>
        <v>46223</v>
      </c>
    </row>
    <row r="25" spans="1:10" x14ac:dyDescent="0.25">
      <c r="A25" s="22" t="s">
        <v>9</v>
      </c>
      <c r="B25" s="22" t="s">
        <v>82</v>
      </c>
      <c r="C25" s="22" t="s">
        <v>83</v>
      </c>
      <c r="D25" s="22" t="s">
        <v>48</v>
      </c>
      <c r="E25" s="23">
        <f>SUMIF($D26:$D29,"Task",$E26:$E29)</f>
        <v>13</v>
      </c>
      <c r="F25" s="22"/>
      <c r="G25" s="23"/>
      <c r="H25" s="23"/>
      <c r="I25" s="24">
        <f>MIN($I26:$I29)</f>
        <v>46219</v>
      </c>
      <c r="J25" s="24">
        <f>MAX($J26:$J29)</f>
        <v>46223</v>
      </c>
    </row>
    <row r="26" spans="1:10" x14ac:dyDescent="0.25">
      <c r="A26" s="25" t="s">
        <v>9</v>
      </c>
      <c r="B26" s="25" t="s">
        <v>84</v>
      </c>
      <c r="C26" s="25" t="s">
        <v>50</v>
      </c>
      <c r="D26" s="25" t="s">
        <v>51</v>
      </c>
      <c r="E26" s="26">
        <v>2</v>
      </c>
      <c r="F26" s="25" t="s">
        <v>78</v>
      </c>
      <c r="G26" s="27">
        <f>$H$22</f>
        <v>5</v>
      </c>
      <c r="H26" s="27">
        <f>$G26+$E26</f>
        <v>7</v>
      </c>
      <c r="I26" s="28">
        <f>WORKDAY(Settings!$D$10,INT($G26/HoursPerDay)+1,Holidays)</f>
        <v>46219</v>
      </c>
      <c r="J26" s="28">
        <f>IF($E26=0,$I26,WORKDAY(Settings!$D$10,ROUNDUP($H26/HoursPerDay,0),Holidays))</f>
        <v>46219</v>
      </c>
    </row>
    <row r="27" spans="1:10" x14ac:dyDescent="0.25">
      <c r="A27" s="25" t="s">
        <v>9</v>
      </c>
      <c r="B27" s="25" t="s">
        <v>85</v>
      </c>
      <c r="C27" s="25" t="s">
        <v>54</v>
      </c>
      <c r="D27" s="25" t="s">
        <v>51</v>
      </c>
      <c r="E27" s="26">
        <v>4</v>
      </c>
      <c r="F27" s="25" t="s">
        <v>78</v>
      </c>
      <c r="G27" s="27">
        <f>$H$26</f>
        <v>7</v>
      </c>
      <c r="H27" s="27">
        <f>$G27+$E27</f>
        <v>11</v>
      </c>
      <c r="I27" s="28">
        <f>WORKDAY(Settings!$D$10,INT($G27/HoursPerDay)+1,Holidays)</f>
        <v>46220</v>
      </c>
      <c r="J27" s="28">
        <f>IF($E27=0,$I27,WORKDAY(Settings!$D$10,ROUNDUP($H27/HoursPerDay,0),Holidays))</f>
        <v>46220</v>
      </c>
    </row>
    <row r="28" spans="1:10" x14ac:dyDescent="0.25">
      <c r="A28" s="25" t="s">
        <v>9</v>
      </c>
      <c r="B28" s="25" t="s">
        <v>86</v>
      </c>
      <c r="C28" s="25" t="s">
        <v>56</v>
      </c>
      <c r="D28" s="25" t="s">
        <v>51</v>
      </c>
      <c r="E28" s="26">
        <v>4</v>
      </c>
      <c r="F28" s="25" t="s">
        <v>57</v>
      </c>
      <c r="G28" s="27">
        <f>$H$23</f>
        <v>15</v>
      </c>
      <c r="H28" s="27">
        <f>$G28+$E28</f>
        <v>19</v>
      </c>
      <c r="I28" s="28">
        <f>WORKDAY(Settings!$D$10,INT($G28/HoursPerDay)+1,Holidays)</f>
        <v>46223</v>
      </c>
      <c r="J28" s="28">
        <f>IF($E28=0,$I28,WORKDAY(Settings!$D$10,ROUNDUP($H28/HoursPerDay,0),Holidays))</f>
        <v>46223</v>
      </c>
    </row>
    <row r="29" spans="1:10" x14ac:dyDescent="0.25">
      <c r="A29" s="25" t="s">
        <v>9</v>
      </c>
      <c r="B29" s="25" t="s">
        <v>87</v>
      </c>
      <c r="C29" s="25" t="s">
        <v>59</v>
      </c>
      <c r="D29" s="25" t="s">
        <v>51</v>
      </c>
      <c r="E29" s="26">
        <v>3</v>
      </c>
      <c r="F29" s="25" t="s">
        <v>60</v>
      </c>
      <c r="G29" s="27">
        <f>$H$24</f>
        <v>15</v>
      </c>
      <c r="H29" s="27">
        <f>$G29+$E29</f>
        <v>18</v>
      </c>
      <c r="I29" s="28">
        <f>WORKDAY(Settings!$D$10,INT($G29/HoursPerDay)+1,Holidays)</f>
        <v>46223</v>
      </c>
      <c r="J29" s="28">
        <f>IF($E29=0,$I29,WORKDAY(Settings!$D$10,ROUNDUP($H29/HoursPerDay,0),Holidays))</f>
        <v>46223</v>
      </c>
    </row>
    <row r="30" spans="1:10" x14ac:dyDescent="0.25">
      <c r="A30" s="22" t="s">
        <v>9</v>
      </c>
      <c r="B30" s="22" t="s">
        <v>88</v>
      </c>
      <c r="C30" s="22" t="s">
        <v>89</v>
      </c>
      <c r="D30" s="22" t="s">
        <v>48</v>
      </c>
      <c r="E30" s="23">
        <f>SUMIF($D31:$D33,"Task",$E31:$E33)</f>
        <v>12</v>
      </c>
      <c r="F30" s="22"/>
      <c r="G30" s="23"/>
      <c r="H30" s="23"/>
      <c r="I30" s="24">
        <f>MIN($I31:$I33)</f>
        <v>46220</v>
      </c>
      <c r="J30" s="24">
        <f>MAX($J31:$J33)</f>
        <v>46224</v>
      </c>
    </row>
    <row r="31" spans="1:10" x14ac:dyDescent="0.25">
      <c r="A31" s="25" t="s">
        <v>9</v>
      </c>
      <c r="B31" s="25" t="s">
        <v>90</v>
      </c>
      <c r="C31" s="25" t="s">
        <v>50</v>
      </c>
      <c r="D31" s="25" t="s">
        <v>51</v>
      </c>
      <c r="E31" s="26">
        <v>1</v>
      </c>
      <c r="F31" s="25" t="s">
        <v>78</v>
      </c>
      <c r="G31" s="27">
        <f>$H$27</f>
        <v>11</v>
      </c>
      <c r="H31" s="27">
        <f>$G31+$E31</f>
        <v>12</v>
      </c>
      <c r="I31" s="28">
        <f>WORKDAY(Settings!$D$10,INT($G31/HoursPerDay)+1,Holidays)</f>
        <v>46220</v>
      </c>
      <c r="J31" s="28">
        <f>IF($E31=0,$I31,WORKDAY(Settings!$D$10,ROUNDUP($H31/HoursPerDay,0),Holidays))</f>
        <v>46220</v>
      </c>
    </row>
    <row r="32" spans="1:10" x14ac:dyDescent="0.25">
      <c r="A32" s="25" t="s">
        <v>9</v>
      </c>
      <c r="B32" s="25" t="s">
        <v>91</v>
      </c>
      <c r="C32" s="25" t="s">
        <v>54</v>
      </c>
      <c r="D32" s="25" t="s">
        <v>51</v>
      </c>
      <c r="E32" s="26">
        <v>6</v>
      </c>
      <c r="F32" s="25" t="s">
        <v>78</v>
      </c>
      <c r="G32" s="27">
        <f>$H$31</f>
        <v>12</v>
      </c>
      <c r="H32" s="27">
        <f>$G32+$E32</f>
        <v>18</v>
      </c>
      <c r="I32" s="28">
        <f>WORKDAY(Settings!$D$10,INT($G32/HoursPerDay)+1,Holidays)</f>
        <v>46220</v>
      </c>
      <c r="J32" s="28">
        <f>IF($E32=0,$I32,WORKDAY(Settings!$D$10,ROUNDUP($H32/HoursPerDay,0),Holidays))</f>
        <v>46223</v>
      </c>
    </row>
    <row r="33" spans="1:10" x14ac:dyDescent="0.25">
      <c r="A33" s="25" t="s">
        <v>9</v>
      </c>
      <c r="B33" s="25" t="s">
        <v>92</v>
      </c>
      <c r="C33" s="25" t="s">
        <v>56</v>
      </c>
      <c r="D33" s="25" t="s">
        <v>51</v>
      </c>
      <c r="E33" s="26">
        <v>5</v>
      </c>
      <c r="F33" s="25" t="s">
        <v>57</v>
      </c>
      <c r="G33" s="27">
        <f>$H$28</f>
        <v>19</v>
      </c>
      <c r="H33" s="27">
        <f>$G33+$E33</f>
        <v>24</v>
      </c>
      <c r="I33" s="28">
        <f>WORKDAY(Settings!$D$10,INT($G33/HoursPerDay)+1,Holidays)</f>
        <v>46223</v>
      </c>
      <c r="J33" s="28">
        <f>IF($E33=0,$I33,WORKDAY(Settings!$D$10,ROUNDUP($H33/HoursPerDay,0),Holidays))</f>
        <v>46224</v>
      </c>
    </row>
    <row r="34" spans="1:10" x14ac:dyDescent="0.25">
      <c r="A34" s="22" t="s">
        <v>9</v>
      </c>
      <c r="B34" s="22" t="s">
        <v>93</v>
      </c>
      <c r="C34" s="22" t="s">
        <v>94</v>
      </c>
      <c r="D34" s="22" t="s">
        <v>48</v>
      </c>
      <c r="E34" s="23">
        <f>SUMIF($D35:$D38,"Task",$E35:$E38)</f>
        <v>12</v>
      </c>
      <c r="F34" s="22"/>
      <c r="G34" s="23"/>
      <c r="H34" s="23"/>
      <c r="I34" s="24">
        <f>MIN($I35:$I38)</f>
        <v>46223</v>
      </c>
      <c r="J34" s="24">
        <f>MAX($J35:$J38)</f>
        <v>46224</v>
      </c>
    </row>
    <row r="35" spans="1:10" x14ac:dyDescent="0.25">
      <c r="A35" s="25" t="s">
        <v>9</v>
      </c>
      <c r="B35" s="25" t="s">
        <v>95</v>
      </c>
      <c r="C35" s="25" t="s">
        <v>50</v>
      </c>
      <c r="D35" s="25" t="s">
        <v>51</v>
      </c>
      <c r="E35" s="26">
        <v>1</v>
      </c>
      <c r="F35" s="25" t="s">
        <v>78</v>
      </c>
      <c r="G35" s="27">
        <f>$H$32</f>
        <v>18</v>
      </c>
      <c r="H35" s="27">
        <f>$G35+$E35</f>
        <v>19</v>
      </c>
      <c r="I35" s="28">
        <f>WORKDAY(Settings!$D$10,INT($G35/HoursPerDay)+1,Holidays)</f>
        <v>46223</v>
      </c>
      <c r="J35" s="28">
        <f>IF($E35=0,$I35,WORKDAY(Settings!$D$10,ROUNDUP($H35/HoursPerDay,0),Holidays))</f>
        <v>46223</v>
      </c>
    </row>
    <row r="36" spans="1:10" x14ac:dyDescent="0.25">
      <c r="A36" s="25" t="s">
        <v>9</v>
      </c>
      <c r="B36" s="25" t="s">
        <v>96</v>
      </c>
      <c r="C36" s="25" t="s">
        <v>54</v>
      </c>
      <c r="D36" s="25" t="s">
        <v>51</v>
      </c>
      <c r="E36" s="26">
        <v>4</v>
      </c>
      <c r="F36" s="25" t="s">
        <v>78</v>
      </c>
      <c r="G36" s="27">
        <f>$H$35</f>
        <v>19</v>
      </c>
      <c r="H36" s="27">
        <f>$G36+$E36</f>
        <v>23</v>
      </c>
      <c r="I36" s="28">
        <f>WORKDAY(Settings!$D$10,INT($G36/HoursPerDay)+1,Holidays)</f>
        <v>46223</v>
      </c>
      <c r="J36" s="28">
        <f>IF($E36=0,$I36,WORKDAY(Settings!$D$10,ROUNDUP($H36/HoursPerDay,0),Holidays))</f>
        <v>46224</v>
      </c>
    </row>
    <row r="37" spans="1:10" x14ac:dyDescent="0.25">
      <c r="A37" s="25" t="s">
        <v>9</v>
      </c>
      <c r="B37" s="25" t="s">
        <v>97</v>
      </c>
      <c r="C37" s="25" t="s">
        <v>56</v>
      </c>
      <c r="D37" s="25" t="s">
        <v>51</v>
      </c>
      <c r="E37" s="26">
        <v>4</v>
      </c>
      <c r="F37" s="25" t="s">
        <v>57</v>
      </c>
      <c r="G37" s="27">
        <f>$H$33</f>
        <v>24</v>
      </c>
      <c r="H37" s="27">
        <f>$G37+$E37</f>
        <v>28</v>
      </c>
      <c r="I37" s="28">
        <f>WORKDAY(Settings!$D$10,INT($G37/HoursPerDay)+1,Holidays)</f>
        <v>46224</v>
      </c>
      <c r="J37" s="28">
        <f>IF($E37=0,$I37,WORKDAY(Settings!$D$10,ROUNDUP($H37/HoursPerDay,0),Holidays))</f>
        <v>46224</v>
      </c>
    </row>
    <row r="38" spans="1:10" x14ac:dyDescent="0.25">
      <c r="A38" s="25" t="s">
        <v>9</v>
      </c>
      <c r="B38" s="25" t="s">
        <v>98</v>
      </c>
      <c r="C38" s="25" t="s">
        <v>59</v>
      </c>
      <c r="D38" s="25" t="s">
        <v>51</v>
      </c>
      <c r="E38" s="26">
        <v>3</v>
      </c>
      <c r="F38" s="25" t="s">
        <v>60</v>
      </c>
      <c r="G38" s="27">
        <f>$H$29</f>
        <v>18</v>
      </c>
      <c r="H38" s="27">
        <f>$G38+$E38</f>
        <v>21</v>
      </c>
      <c r="I38" s="28">
        <f>WORKDAY(Settings!$D$10,INT($G38/HoursPerDay)+1,Holidays)</f>
        <v>46223</v>
      </c>
      <c r="J38" s="28">
        <f>IF($E38=0,$I38,WORKDAY(Settings!$D$10,ROUNDUP($H38/HoursPerDay,0),Holidays))</f>
        <v>46223</v>
      </c>
    </row>
    <row r="39" spans="1:10" x14ac:dyDescent="0.25">
      <c r="A39" s="22" t="s">
        <v>9</v>
      </c>
      <c r="B39" s="22" t="s">
        <v>99</v>
      </c>
      <c r="C39" s="22" t="s">
        <v>100</v>
      </c>
      <c r="D39" s="22" t="s">
        <v>48</v>
      </c>
      <c r="E39" s="23">
        <f>SUMIF($D40:$D43,"Task",$E40:$E43)</f>
        <v>12</v>
      </c>
      <c r="F39" s="22"/>
      <c r="G39" s="23"/>
      <c r="H39" s="23"/>
      <c r="I39" s="24">
        <f>MIN($I40:$I43)</f>
        <v>46224</v>
      </c>
      <c r="J39" s="24">
        <f>MAX($J40:$J43)</f>
        <v>46225</v>
      </c>
    </row>
    <row r="40" spans="1:10" x14ac:dyDescent="0.25">
      <c r="A40" s="25" t="s">
        <v>9</v>
      </c>
      <c r="B40" s="25" t="s">
        <v>101</v>
      </c>
      <c r="C40" s="25" t="s">
        <v>50</v>
      </c>
      <c r="D40" s="25" t="s">
        <v>51</v>
      </c>
      <c r="E40" s="26">
        <v>1</v>
      </c>
      <c r="F40" s="25" t="s">
        <v>78</v>
      </c>
      <c r="G40" s="27">
        <f>$H$36</f>
        <v>23</v>
      </c>
      <c r="H40" s="27">
        <f>$G40+$E40</f>
        <v>24</v>
      </c>
      <c r="I40" s="28">
        <f>WORKDAY(Settings!$D$10,INT($G40/HoursPerDay)+1,Holidays)</f>
        <v>46224</v>
      </c>
      <c r="J40" s="28">
        <f>IF($E40=0,$I40,WORKDAY(Settings!$D$10,ROUNDUP($H40/HoursPerDay,0),Holidays))</f>
        <v>46224</v>
      </c>
    </row>
    <row r="41" spans="1:10" x14ac:dyDescent="0.25">
      <c r="A41" s="25" t="s">
        <v>9</v>
      </c>
      <c r="B41" s="25" t="s">
        <v>102</v>
      </c>
      <c r="C41" s="25" t="s">
        <v>54</v>
      </c>
      <c r="D41" s="25" t="s">
        <v>51</v>
      </c>
      <c r="E41" s="26">
        <v>3</v>
      </c>
      <c r="F41" s="25" t="s">
        <v>78</v>
      </c>
      <c r="G41" s="27">
        <f>$H$40</f>
        <v>24</v>
      </c>
      <c r="H41" s="27">
        <f>$G41+$E41</f>
        <v>27</v>
      </c>
      <c r="I41" s="28">
        <f>WORKDAY(Settings!$D$10,INT($G41/HoursPerDay)+1,Holidays)</f>
        <v>46224</v>
      </c>
      <c r="J41" s="28">
        <f>IF($E41=0,$I41,WORKDAY(Settings!$D$10,ROUNDUP($H41/HoursPerDay,0),Holidays))</f>
        <v>46224</v>
      </c>
    </row>
    <row r="42" spans="1:10" x14ac:dyDescent="0.25">
      <c r="A42" s="25" t="s">
        <v>9</v>
      </c>
      <c r="B42" s="25" t="s">
        <v>103</v>
      </c>
      <c r="C42" s="25" t="s">
        <v>56</v>
      </c>
      <c r="D42" s="25" t="s">
        <v>51</v>
      </c>
      <c r="E42" s="26">
        <v>2</v>
      </c>
      <c r="F42" s="25" t="s">
        <v>57</v>
      </c>
      <c r="G42" s="27">
        <f>$H$37</f>
        <v>28</v>
      </c>
      <c r="H42" s="27">
        <f>$G42+$E42</f>
        <v>30</v>
      </c>
      <c r="I42" s="28">
        <f>WORKDAY(Settings!$D$10,INT($G42/HoursPerDay)+1,Holidays)</f>
        <v>46225</v>
      </c>
      <c r="J42" s="28">
        <f>IF($E42=0,$I42,WORKDAY(Settings!$D$10,ROUNDUP($H42/HoursPerDay,0),Holidays))</f>
        <v>46225</v>
      </c>
    </row>
    <row r="43" spans="1:10" x14ac:dyDescent="0.25">
      <c r="A43" s="25" t="s">
        <v>9</v>
      </c>
      <c r="B43" s="25" t="s">
        <v>104</v>
      </c>
      <c r="C43" s="25" t="s">
        <v>59</v>
      </c>
      <c r="D43" s="25" t="s">
        <v>51</v>
      </c>
      <c r="E43" s="26">
        <v>6</v>
      </c>
      <c r="F43" s="25" t="s">
        <v>60</v>
      </c>
      <c r="G43" s="27">
        <f>$H$38</f>
        <v>21</v>
      </c>
      <c r="H43" s="27">
        <f>$G43+$E43</f>
        <v>27</v>
      </c>
      <c r="I43" s="28">
        <f>WORKDAY(Settings!$D$10,INT($G43/HoursPerDay)+1,Holidays)</f>
        <v>46224</v>
      </c>
      <c r="J43" s="28">
        <f>IF($E43=0,$I43,WORKDAY(Settings!$D$10,ROUNDUP($H43/HoursPerDay,0),Holidays))</f>
        <v>46224</v>
      </c>
    </row>
    <row r="44" spans="1:10" x14ac:dyDescent="0.25">
      <c r="A44" s="22" t="s">
        <v>9</v>
      </c>
      <c r="B44" s="22" t="s">
        <v>105</v>
      </c>
      <c r="C44" s="22" t="s">
        <v>106</v>
      </c>
      <c r="D44" s="22" t="s">
        <v>48</v>
      </c>
      <c r="E44" s="23">
        <f>SUMIF($D45:$D48,"Task",$E45:$E48)</f>
        <v>6</v>
      </c>
      <c r="F44" s="22"/>
      <c r="G44" s="23"/>
      <c r="H44" s="23"/>
      <c r="I44" s="24">
        <f>MIN($I45:$I48)</f>
        <v>46224</v>
      </c>
      <c r="J44" s="24">
        <f>MAX($J45:$J48)</f>
        <v>46225</v>
      </c>
    </row>
    <row r="45" spans="1:10" x14ac:dyDescent="0.25">
      <c r="A45" s="25" t="s">
        <v>9</v>
      </c>
      <c r="B45" s="25" t="s">
        <v>107</v>
      </c>
      <c r="C45" s="25" t="s">
        <v>50</v>
      </c>
      <c r="D45" s="25" t="s">
        <v>51</v>
      </c>
      <c r="E45" s="26">
        <v>1</v>
      </c>
      <c r="F45" s="25" t="s">
        <v>78</v>
      </c>
      <c r="G45" s="27">
        <f>$H$41</f>
        <v>27</v>
      </c>
      <c r="H45" s="27">
        <f>$G45+$E45</f>
        <v>28</v>
      </c>
      <c r="I45" s="28">
        <f>WORKDAY(Settings!$D$10,INT($G45/HoursPerDay)+1,Holidays)</f>
        <v>46224</v>
      </c>
      <c r="J45" s="28">
        <f>IF($E45=0,$I45,WORKDAY(Settings!$D$10,ROUNDUP($H45/HoursPerDay,0),Holidays))</f>
        <v>46224</v>
      </c>
    </row>
    <row r="46" spans="1:10" x14ac:dyDescent="0.25">
      <c r="A46" s="25" t="s">
        <v>9</v>
      </c>
      <c r="B46" s="25" t="s">
        <v>108</v>
      </c>
      <c r="C46" s="25" t="s">
        <v>54</v>
      </c>
      <c r="D46" s="25" t="s">
        <v>51</v>
      </c>
      <c r="E46" s="26">
        <v>2</v>
      </c>
      <c r="F46" s="25" t="s">
        <v>78</v>
      </c>
      <c r="G46" s="27">
        <f>$H$45</f>
        <v>28</v>
      </c>
      <c r="H46" s="27">
        <f>$G46+$E46</f>
        <v>30</v>
      </c>
      <c r="I46" s="28">
        <f>WORKDAY(Settings!$D$10,INT($G46/HoursPerDay)+1,Holidays)</f>
        <v>46225</v>
      </c>
      <c r="J46" s="28">
        <f>IF($E46=0,$I46,WORKDAY(Settings!$D$10,ROUNDUP($H46/HoursPerDay,0),Holidays))</f>
        <v>46225</v>
      </c>
    </row>
    <row r="47" spans="1:10" x14ac:dyDescent="0.25">
      <c r="A47" s="25" t="s">
        <v>9</v>
      </c>
      <c r="B47" s="25" t="s">
        <v>109</v>
      </c>
      <c r="C47" s="25" t="s">
        <v>56</v>
      </c>
      <c r="D47" s="25" t="s">
        <v>51</v>
      </c>
      <c r="E47" s="26">
        <v>2</v>
      </c>
      <c r="F47" s="25" t="s">
        <v>57</v>
      </c>
      <c r="G47" s="27">
        <f>$H$42</f>
        <v>30</v>
      </c>
      <c r="H47" s="27">
        <f>$G47+$E47</f>
        <v>32</v>
      </c>
      <c r="I47" s="28">
        <f>WORKDAY(Settings!$D$10,INT($G47/HoursPerDay)+1,Holidays)</f>
        <v>46225</v>
      </c>
      <c r="J47" s="28">
        <f>IF($E47=0,$I47,WORKDAY(Settings!$D$10,ROUNDUP($H47/HoursPerDay,0),Holidays))</f>
        <v>46225</v>
      </c>
    </row>
    <row r="48" spans="1:10" x14ac:dyDescent="0.25">
      <c r="A48" s="25" t="s">
        <v>9</v>
      </c>
      <c r="B48" s="25" t="s">
        <v>110</v>
      </c>
      <c r="C48" s="25" t="s">
        <v>59</v>
      </c>
      <c r="D48" s="25" t="s">
        <v>51</v>
      </c>
      <c r="E48" s="26">
        <v>1</v>
      </c>
      <c r="F48" s="25" t="s">
        <v>60</v>
      </c>
      <c r="G48" s="27">
        <f>$H$43</f>
        <v>27</v>
      </c>
      <c r="H48" s="27">
        <f>$G48+$E48</f>
        <v>28</v>
      </c>
      <c r="I48" s="28">
        <f>WORKDAY(Settings!$D$10,INT($G48/HoursPerDay)+1,Holidays)</f>
        <v>46224</v>
      </c>
      <c r="J48" s="28">
        <f>IF($E48=0,$I48,WORKDAY(Settings!$D$10,ROUNDUP($H48/HoursPerDay,0),Holidays))</f>
        <v>46224</v>
      </c>
    </row>
    <row r="49" spans="1:10" x14ac:dyDescent="0.25">
      <c r="A49" s="22" t="s">
        <v>9</v>
      </c>
      <c r="B49" s="22" t="s">
        <v>111</v>
      </c>
      <c r="C49" s="22" t="s">
        <v>112</v>
      </c>
      <c r="D49" s="22" t="s">
        <v>48</v>
      </c>
      <c r="E49" s="23">
        <f>SUMIF($D50:$D52,"Task",$E50:$E52)</f>
        <v>7</v>
      </c>
      <c r="F49" s="22"/>
      <c r="G49" s="23"/>
      <c r="H49" s="23"/>
      <c r="I49" s="24">
        <f>MIN($I50:$I52)</f>
        <v>46225</v>
      </c>
      <c r="J49" s="24">
        <f>MAX($J50:$J52)</f>
        <v>46225</v>
      </c>
    </row>
    <row r="50" spans="1:10" x14ac:dyDescent="0.25">
      <c r="A50" s="25" t="s">
        <v>9</v>
      </c>
      <c r="B50" s="25" t="s">
        <v>113</v>
      </c>
      <c r="C50" s="25" t="s">
        <v>54</v>
      </c>
      <c r="D50" s="25" t="s">
        <v>51</v>
      </c>
      <c r="E50" s="26">
        <v>2</v>
      </c>
      <c r="F50" s="25" t="s">
        <v>78</v>
      </c>
      <c r="G50" s="27">
        <f>$H$46</f>
        <v>30</v>
      </c>
      <c r="H50" s="27">
        <f>$G50+$E50</f>
        <v>32</v>
      </c>
      <c r="I50" s="28">
        <f>WORKDAY(Settings!$D$10,INT($G50/HoursPerDay)+1,Holidays)</f>
        <v>46225</v>
      </c>
      <c r="J50" s="28">
        <f>IF($E50=0,$I50,WORKDAY(Settings!$D$10,ROUNDUP($H50/HoursPerDay,0),Holidays))</f>
        <v>46225</v>
      </c>
    </row>
    <row r="51" spans="1:10" x14ac:dyDescent="0.25">
      <c r="A51" s="25" t="s">
        <v>9</v>
      </c>
      <c r="B51" s="25" t="s">
        <v>114</v>
      </c>
      <c r="C51" s="25" t="s">
        <v>56</v>
      </c>
      <c r="D51" s="25" t="s">
        <v>51</v>
      </c>
      <c r="E51" s="26">
        <v>2</v>
      </c>
      <c r="F51" s="25" t="s">
        <v>57</v>
      </c>
      <c r="G51" s="27">
        <f>$H$47</f>
        <v>32</v>
      </c>
      <c r="H51" s="27">
        <f>$G51+$E51</f>
        <v>34</v>
      </c>
      <c r="I51" s="28">
        <f>WORKDAY(Settings!$D$10,INT($G51/HoursPerDay)+1,Holidays)</f>
        <v>46225</v>
      </c>
      <c r="J51" s="28">
        <f>IF($E51=0,$I51,WORKDAY(Settings!$D$10,ROUNDUP($H51/HoursPerDay,0),Holidays))</f>
        <v>46225</v>
      </c>
    </row>
    <row r="52" spans="1:10" x14ac:dyDescent="0.25">
      <c r="A52" s="25" t="s">
        <v>9</v>
      </c>
      <c r="B52" s="25" t="s">
        <v>115</v>
      </c>
      <c r="C52" s="25" t="s">
        <v>59</v>
      </c>
      <c r="D52" s="25" t="s">
        <v>51</v>
      </c>
      <c r="E52" s="26">
        <v>3</v>
      </c>
      <c r="F52" s="25" t="s">
        <v>60</v>
      </c>
      <c r="G52" s="27">
        <f>$H$48</f>
        <v>28</v>
      </c>
      <c r="H52" s="27">
        <f>$G52+$E52</f>
        <v>31</v>
      </c>
      <c r="I52" s="28">
        <f>WORKDAY(Settings!$D$10,INT($G52/HoursPerDay)+1,Holidays)</f>
        <v>46225</v>
      </c>
      <c r="J52" s="28">
        <f>IF($E52=0,$I52,WORKDAY(Settings!$D$10,ROUNDUP($H52/HoursPerDay,0),Holidays))</f>
        <v>46225</v>
      </c>
    </row>
    <row r="53" spans="1:10" x14ac:dyDescent="0.25">
      <c r="A53" s="22" t="s">
        <v>9</v>
      </c>
      <c r="B53" s="22" t="s">
        <v>116</v>
      </c>
      <c r="C53" s="22" t="s">
        <v>117</v>
      </c>
      <c r="D53" s="22" t="s">
        <v>48</v>
      </c>
      <c r="E53" s="23">
        <f>SUMIF($D54:$D56,"Task",$E54:$E56)</f>
        <v>11</v>
      </c>
      <c r="F53" s="22"/>
      <c r="G53" s="23"/>
      <c r="H53" s="23"/>
      <c r="I53" s="24">
        <f>MIN($I54:$I56)</f>
        <v>46225</v>
      </c>
      <c r="J53" s="24">
        <f>MAX($J54:$J56)</f>
        <v>46226</v>
      </c>
    </row>
    <row r="54" spans="1:10" x14ac:dyDescent="0.25">
      <c r="A54" s="25" t="s">
        <v>9</v>
      </c>
      <c r="B54" s="25" t="s">
        <v>118</v>
      </c>
      <c r="C54" s="25" t="s">
        <v>54</v>
      </c>
      <c r="D54" s="25" t="s">
        <v>51</v>
      </c>
      <c r="E54" s="26">
        <v>4</v>
      </c>
      <c r="F54" s="25" t="s">
        <v>78</v>
      </c>
      <c r="G54" s="27">
        <f>$H$50</f>
        <v>32</v>
      </c>
      <c r="H54" s="27">
        <f>$G54+$E54</f>
        <v>36</v>
      </c>
      <c r="I54" s="28">
        <f>WORKDAY(Settings!$D$10,INT($G54/HoursPerDay)+1,Holidays)</f>
        <v>46225</v>
      </c>
      <c r="J54" s="28">
        <f>IF($E54=0,$I54,WORKDAY(Settings!$D$10,ROUNDUP($H54/HoursPerDay,0),Holidays))</f>
        <v>46226</v>
      </c>
    </row>
    <row r="55" spans="1:10" x14ac:dyDescent="0.25">
      <c r="A55" s="25" t="s">
        <v>9</v>
      </c>
      <c r="B55" s="25" t="s">
        <v>119</v>
      </c>
      <c r="C55" s="25" t="s">
        <v>56</v>
      </c>
      <c r="D55" s="25" t="s">
        <v>51</v>
      </c>
      <c r="E55" s="26">
        <v>4</v>
      </c>
      <c r="F55" s="25" t="s">
        <v>57</v>
      </c>
      <c r="G55" s="27">
        <f>$H$51</f>
        <v>34</v>
      </c>
      <c r="H55" s="27">
        <f>$G55+$E55</f>
        <v>38</v>
      </c>
      <c r="I55" s="28">
        <f>WORKDAY(Settings!$D$10,INT($G55/HoursPerDay)+1,Holidays)</f>
        <v>46225</v>
      </c>
      <c r="J55" s="28">
        <f>IF($E55=0,$I55,WORKDAY(Settings!$D$10,ROUNDUP($H55/HoursPerDay,0),Holidays))</f>
        <v>46226</v>
      </c>
    </row>
    <row r="56" spans="1:10" x14ac:dyDescent="0.25">
      <c r="A56" s="25" t="s">
        <v>9</v>
      </c>
      <c r="B56" s="25" t="s">
        <v>120</v>
      </c>
      <c r="C56" s="25" t="s">
        <v>59</v>
      </c>
      <c r="D56" s="25" t="s">
        <v>51</v>
      </c>
      <c r="E56" s="26">
        <v>3</v>
      </c>
      <c r="F56" s="25" t="s">
        <v>60</v>
      </c>
      <c r="G56" s="27">
        <f>$H$52</f>
        <v>31</v>
      </c>
      <c r="H56" s="27">
        <f>$G56+$E56</f>
        <v>34</v>
      </c>
      <c r="I56" s="28">
        <f>WORKDAY(Settings!$D$10,INT($G56/HoursPerDay)+1,Holidays)</f>
        <v>46225</v>
      </c>
      <c r="J56" s="28">
        <f>IF($E56=0,$I56,WORKDAY(Settings!$D$10,ROUNDUP($H56/HoursPerDay,0),Holidays))</f>
        <v>46225</v>
      </c>
    </row>
    <row r="57" spans="1:10" x14ac:dyDescent="0.25">
      <c r="A57" s="22" t="s">
        <v>9</v>
      </c>
      <c r="B57" s="22" t="s">
        <v>121</v>
      </c>
      <c r="C57" s="22" t="s">
        <v>122</v>
      </c>
      <c r="D57" s="22" t="s">
        <v>48</v>
      </c>
      <c r="E57" s="23">
        <f>SUMIF($D58:$D60,"Task",$E58:$E60)</f>
        <v>11</v>
      </c>
      <c r="F57" s="22"/>
      <c r="G57" s="23"/>
      <c r="H57" s="23"/>
      <c r="I57" s="24">
        <f>MIN($I58:$I60)</f>
        <v>46225</v>
      </c>
      <c r="J57" s="24">
        <f>MAX($J58:$J60)</f>
        <v>46226</v>
      </c>
    </row>
    <row r="58" spans="1:10" x14ac:dyDescent="0.25">
      <c r="A58" s="25" t="s">
        <v>9</v>
      </c>
      <c r="B58" s="25" t="s">
        <v>123</v>
      </c>
      <c r="C58" s="25" t="s">
        <v>54</v>
      </c>
      <c r="D58" s="25" t="s">
        <v>51</v>
      </c>
      <c r="E58" s="26">
        <v>3</v>
      </c>
      <c r="F58" s="25" t="s">
        <v>78</v>
      </c>
      <c r="G58" s="27">
        <f>$H$54</f>
        <v>36</v>
      </c>
      <c r="H58" s="27">
        <f>$G58+$E58</f>
        <v>39</v>
      </c>
      <c r="I58" s="28">
        <f>WORKDAY(Settings!$D$10,INT($G58/HoursPerDay)+1,Holidays)</f>
        <v>46226</v>
      </c>
      <c r="J58" s="28">
        <f>IF($E58=0,$I58,WORKDAY(Settings!$D$10,ROUNDUP($H58/HoursPerDay,0),Holidays))</f>
        <v>46226</v>
      </c>
    </row>
    <row r="59" spans="1:10" x14ac:dyDescent="0.25">
      <c r="A59" s="25" t="s">
        <v>9</v>
      </c>
      <c r="B59" s="25" t="s">
        <v>124</v>
      </c>
      <c r="C59" s="25" t="s">
        <v>59</v>
      </c>
      <c r="D59" s="25" t="s">
        <v>51</v>
      </c>
      <c r="E59" s="26">
        <v>4</v>
      </c>
      <c r="F59" s="25" t="s">
        <v>60</v>
      </c>
      <c r="G59" s="27">
        <f>$H$56</f>
        <v>34</v>
      </c>
      <c r="H59" s="27">
        <f>$G59+$E59</f>
        <v>38</v>
      </c>
      <c r="I59" s="28">
        <f>WORKDAY(Settings!$D$10,INT($G59/HoursPerDay)+1,Holidays)</f>
        <v>46225</v>
      </c>
      <c r="J59" s="28">
        <f>IF($E59=0,$I59,WORKDAY(Settings!$D$10,ROUNDUP($H59/HoursPerDay,0),Holidays))</f>
        <v>46226</v>
      </c>
    </row>
    <row r="60" spans="1:10" x14ac:dyDescent="0.25">
      <c r="A60" s="25" t="s">
        <v>9</v>
      </c>
      <c r="B60" s="25" t="s">
        <v>124</v>
      </c>
      <c r="C60" s="25" t="s">
        <v>56</v>
      </c>
      <c r="D60" s="25" t="s">
        <v>51</v>
      </c>
      <c r="E60" s="26">
        <v>4</v>
      </c>
      <c r="F60" s="25" t="s">
        <v>57</v>
      </c>
      <c r="G60" s="27">
        <f>$H$55</f>
        <v>38</v>
      </c>
      <c r="H60" s="27">
        <f>$G60+$E60</f>
        <v>42</v>
      </c>
      <c r="I60" s="28">
        <f>WORKDAY(Settings!$D$10,INT($G60/HoursPerDay)+1,Holidays)</f>
        <v>46226</v>
      </c>
      <c r="J60" s="28">
        <f>IF($E60=0,$I60,WORKDAY(Settings!$D$10,ROUNDUP($H60/HoursPerDay,0),Holidays))</f>
        <v>46226</v>
      </c>
    </row>
    <row r="61" spans="1:10" x14ac:dyDescent="0.25">
      <c r="A61" s="22" t="s">
        <v>9</v>
      </c>
      <c r="B61" s="22" t="s">
        <v>125</v>
      </c>
      <c r="C61" s="22" t="s">
        <v>126</v>
      </c>
      <c r="D61" s="22" t="s">
        <v>48</v>
      </c>
      <c r="E61" s="23">
        <f>SUMIF($D62:$D65,"Task",$E62:$E65)</f>
        <v>11</v>
      </c>
      <c r="F61" s="22"/>
      <c r="G61" s="23"/>
      <c r="H61" s="23"/>
      <c r="I61" s="24">
        <f>MIN($I62:$I65)</f>
        <v>46226</v>
      </c>
      <c r="J61" s="24">
        <f>MAX($J62:$J65)</f>
        <v>46227</v>
      </c>
    </row>
    <row r="62" spans="1:10" x14ac:dyDescent="0.25">
      <c r="A62" s="25" t="s">
        <v>9</v>
      </c>
      <c r="B62" s="25" t="s">
        <v>127</v>
      </c>
      <c r="C62" s="25" t="s">
        <v>50</v>
      </c>
      <c r="D62" s="25" t="s">
        <v>51</v>
      </c>
      <c r="E62" s="26">
        <v>1</v>
      </c>
      <c r="F62" s="25" t="s">
        <v>78</v>
      </c>
      <c r="G62" s="27">
        <f>$H$58</f>
        <v>39</v>
      </c>
      <c r="H62" s="27">
        <f>$G62+$E62</f>
        <v>40</v>
      </c>
      <c r="I62" s="28">
        <f>WORKDAY(Settings!$D$10,INT($G62/HoursPerDay)+1,Holidays)</f>
        <v>46226</v>
      </c>
      <c r="J62" s="28">
        <f>IF($E62=0,$I62,WORKDAY(Settings!$D$10,ROUNDUP($H62/HoursPerDay,0),Holidays))</f>
        <v>46226</v>
      </c>
    </row>
    <row r="63" spans="1:10" x14ac:dyDescent="0.25">
      <c r="A63" s="25" t="s">
        <v>9</v>
      </c>
      <c r="B63" s="25" t="s">
        <v>128</v>
      </c>
      <c r="C63" s="25" t="s">
        <v>54</v>
      </c>
      <c r="D63" s="25" t="s">
        <v>51</v>
      </c>
      <c r="E63" s="26">
        <v>3</v>
      </c>
      <c r="F63" s="25" t="s">
        <v>78</v>
      </c>
      <c r="G63" s="27">
        <f>$H$62</f>
        <v>40</v>
      </c>
      <c r="H63" s="27">
        <f>$G63+$E63</f>
        <v>43</v>
      </c>
      <c r="I63" s="28">
        <f>WORKDAY(Settings!$D$10,INT($G63/HoursPerDay)+1,Holidays)</f>
        <v>46226</v>
      </c>
      <c r="J63" s="28">
        <f>IF($E63=0,$I63,WORKDAY(Settings!$D$10,ROUNDUP($H63/HoursPerDay,0),Holidays))</f>
        <v>46227</v>
      </c>
    </row>
    <row r="64" spans="1:10" x14ac:dyDescent="0.25">
      <c r="A64" s="25" t="s">
        <v>9</v>
      </c>
      <c r="B64" s="25" t="s">
        <v>129</v>
      </c>
      <c r="C64" s="25" t="s">
        <v>56</v>
      </c>
      <c r="D64" s="25" t="s">
        <v>51</v>
      </c>
      <c r="E64" s="26">
        <v>3</v>
      </c>
      <c r="F64" s="25" t="s">
        <v>57</v>
      </c>
      <c r="G64" s="27">
        <f>$H$60</f>
        <v>42</v>
      </c>
      <c r="H64" s="27">
        <f>$G64+$E64</f>
        <v>45</v>
      </c>
      <c r="I64" s="28">
        <f>WORKDAY(Settings!$D$10,INT($G64/HoursPerDay)+1,Holidays)</f>
        <v>46227</v>
      </c>
      <c r="J64" s="28">
        <f>IF($E64=0,$I64,WORKDAY(Settings!$D$10,ROUNDUP($H64/HoursPerDay,0),Holidays))</f>
        <v>46227</v>
      </c>
    </row>
    <row r="65" spans="1:10" x14ac:dyDescent="0.25">
      <c r="A65" s="25" t="s">
        <v>9</v>
      </c>
      <c r="B65" s="25" t="s">
        <v>130</v>
      </c>
      <c r="C65" s="25" t="s">
        <v>59</v>
      </c>
      <c r="D65" s="25" t="s">
        <v>51</v>
      </c>
      <c r="E65" s="26">
        <v>4</v>
      </c>
      <c r="F65" s="25" t="s">
        <v>60</v>
      </c>
      <c r="G65" s="27">
        <f>$H$59</f>
        <v>38</v>
      </c>
      <c r="H65" s="27">
        <f>$G65+$E65</f>
        <v>42</v>
      </c>
      <c r="I65" s="28">
        <f>WORKDAY(Settings!$D$10,INT($G65/HoursPerDay)+1,Holidays)</f>
        <v>46226</v>
      </c>
      <c r="J65" s="28">
        <f>IF($E65=0,$I65,WORKDAY(Settings!$D$10,ROUNDUP($H65/HoursPerDay,0),Holidays))</f>
        <v>46226</v>
      </c>
    </row>
    <row r="66" spans="1:10" x14ac:dyDescent="0.25">
      <c r="A66" s="22" t="s">
        <v>9</v>
      </c>
      <c r="B66" s="22" t="s">
        <v>131</v>
      </c>
      <c r="C66" s="22" t="s">
        <v>132</v>
      </c>
      <c r="D66" s="22" t="s">
        <v>48</v>
      </c>
      <c r="E66" s="23">
        <f>SUMIF($D67:$D70,"Task",$E67:$E70)</f>
        <v>15</v>
      </c>
      <c r="F66" s="22"/>
      <c r="G66" s="23"/>
      <c r="H66" s="23"/>
      <c r="I66" s="24">
        <f>MIN($I67:$I70)</f>
        <v>46227</v>
      </c>
      <c r="J66" s="24">
        <f>MAX($J67:$J70)</f>
        <v>46230</v>
      </c>
    </row>
    <row r="67" spans="1:10" x14ac:dyDescent="0.25">
      <c r="A67" s="25" t="s">
        <v>9</v>
      </c>
      <c r="B67" s="25" t="s">
        <v>133</v>
      </c>
      <c r="C67" s="25" t="s">
        <v>50</v>
      </c>
      <c r="D67" s="25" t="s">
        <v>51</v>
      </c>
      <c r="E67" s="26">
        <v>3</v>
      </c>
      <c r="F67" s="25" t="s">
        <v>78</v>
      </c>
      <c r="G67" s="27">
        <f>$H$63</f>
        <v>43</v>
      </c>
      <c r="H67" s="27">
        <f>$G67+$E67</f>
        <v>46</v>
      </c>
      <c r="I67" s="28">
        <f>WORKDAY(Settings!$D$10,INT($G67/HoursPerDay)+1,Holidays)</f>
        <v>46227</v>
      </c>
      <c r="J67" s="28">
        <f>IF($E67=0,$I67,WORKDAY(Settings!$D$10,ROUNDUP($H67/HoursPerDay,0),Holidays))</f>
        <v>46227</v>
      </c>
    </row>
    <row r="68" spans="1:10" x14ac:dyDescent="0.25">
      <c r="A68" s="25" t="s">
        <v>9</v>
      </c>
      <c r="B68" s="25" t="s">
        <v>134</v>
      </c>
      <c r="C68" s="25" t="s">
        <v>54</v>
      </c>
      <c r="D68" s="25" t="s">
        <v>51</v>
      </c>
      <c r="E68" s="26">
        <v>4</v>
      </c>
      <c r="F68" s="25" t="s">
        <v>78</v>
      </c>
      <c r="G68" s="27">
        <f>$H$67</f>
        <v>46</v>
      </c>
      <c r="H68" s="27">
        <f>$G68+$E68</f>
        <v>50</v>
      </c>
      <c r="I68" s="28">
        <f>WORKDAY(Settings!$D$10,INT($G68/HoursPerDay)+1,Holidays)</f>
        <v>46227</v>
      </c>
      <c r="J68" s="28">
        <f>IF($E68=0,$I68,WORKDAY(Settings!$D$10,ROUNDUP($H68/HoursPerDay,0),Holidays))</f>
        <v>46230</v>
      </c>
    </row>
    <row r="69" spans="1:10" x14ac:dyDescent="0.25">
      <c r="A69" s="25" t="s">
        <v>9</v>
      </c>
      <c r="B69" s="25" t="s">
        <v>135</v>
      </c>
      <c r="C69" s="25" t="s">
        <v>59</v>
      </c>
      <c r="D69" s="25" t="s">
        <v>51</v>
      </c>
      <c r="E69" s="26">
        <v>4</v>
      </c>
      <c r="F69" s="25" t="s">
        <v>60</v>
      </c>
      <c r="G69" s="27">
        <f>$H$65</f>
        <v>42</v>
      </c>
      <c r="H69" s="27">
        <f>$G69+$E69</f>
        <v>46</v>
      </c>
      <c r="I69" s="28">
        <f>WORKDAY(Settings!$D$10,INT($G69/HoursPerDay)+1,Holidays)</f>
        <v>46227</v>
      </c>
      <c r="J69" s="28">
        <f>IF($E69=0,$I69,WORKDAY(Settings!$D$10,ROUNDUP($H69/HoursPerDay,0),Holidays))</f>
        <v>46227</v>
      </c>
    </row>
    <row r="70" spans="1:10" x14ac:dyDescent="0.25">
      <c r="A70" s="25" t="s">
        <v>9</v>
      </c>
      <c r="B70" s="25" t="s">
        <v>135</v>
      </c>
      <c r="C70" s="25" t="s">
        <v>56</v>
      </c>
      <c r="D70" s="25" t="s">
        <v>51</v>
      </c>
      <c r="E70" s="26">
        <v>4</v>
      </c>
      <c r="F70" s="25" t="s">
        <v>57</v>
      </c>
      <c r="G70" s="27">
        <f>$H$64</f>
        <v>45</v>
      </c>
      <c r="H70" s="27">
        <f>$G70+$E70</f>
        <v>49</v>
      </c>
      <c r="I70" s="28">
        <f>WORKDAY(Settings!$D$10,INT($G70/HoursPerDay)+1,Holidays)</f>
        <v>46227</v>
      </c>
      <c r="J70" s="28">
        <f>IF($E70=0,$I70,WORKDAY(Settings!$D$10,ROUNDUP($H70/HoursPerDay,0),Holidays))</f>
        <v>46227</v>
      </c>
    </row>
    <row r="71" spans="1:10" x14ac:dyDescent="0.25">
      <c r="A71" s="19" t="s">
        <v>9</v>
      </c>
      <c r="B71" s="19" t="s">
        <v>136</v>
      </c>
      <c r="C71" s="19" t="s">
        <v>137</v>
      </c>
      <c r="D71" s="19" t="s">
        <v>45</v>
      </c>
      <c r="E71" s="20">
        <f>SUMIF($D72:$D99,"Task",$E72:$E99)</f>
        <v>76</v>
      </c>
      <c r="F71" s="19"/>
      <c r="G71" s="20"/>
      <c r="H71" s="20"/>
      <c r="I71" s="21">
        <f>MIN($I72:$I99)</f>
        <v>46223</v>
      </c>
      <c r="J71" s="21">
        <f>MAX($J72:$J99)</f>
        <v>46233</v>
      </c>
    </row>
    <row r="72" spans="1:10" x14ac:dyDescent="0.25">
      <c r="A72" s="22" t="s">
        <v>9</v>
      </c>
      <c r="B72" s="22" t="s">
        <v>138</v>
      </c>
      <c r="C72" s="22" t="s">
        <v>139</v>
      </c>
      <c r="D72" s="22" t="s">
        <v>48</v>
      </c>
      <c r="E72" s="23">
        <f>SUMIF($D73:$D76,"Task",$E73:$E76)</f>
        <v>20</v>
      </c>
      <c r="F72" s="22"/>
      <c r="G72" s="23"/>
      <c r="H72" s="23"/>
      <c r="I72" s="24">
        <f>MIN($I73:$I76)</f>
        <v>46223</v>
      </c>
      <c r="J72" s="24">
        <f>MAX($J73:$J76)</f>
        <v>46230</v>
      </c>
    </row>
    <row r="73" spans="1:10" x14ac:dyDescent="0.25">
      <c r="A73" s="25" t="s">
        <v>9</v>
      </c>
      <c r="B73" s="25" t="s">
        <v>140</v>
      </c>
      <c r="C73" s="25" t="s">
        <v>50</v>
      </c>
      <c r="D73" s="25" t="s">
        <v>51</v>
      </c>
      <c r="E73" s="26">
        <v>2</v>
      </c>
      <c r="F73" s="25" t="s">
        <v>52</v>
      </c>
      <c r="G73" s="27">
        <f>$H$16</f>
        <v>19</v>
      </c>
      <c r="H73" s="27">
        <f>$G73+$E73</f>
        <v>21</v>
      </c>
      <c r="I73" s="28">
        <f>WORKDAY(Settings!$D$10,INT($G73/HoursPerDay)+1,Holidays)</f>
        <v>46223</v>
      </c>
      <c r="J73" s="28">
        <f>IF($E73=0,$I73,WORKDAY(Settings!$D$10,ROUNDUP($H73/HoursPerDay,0),Holidays))</f>
        <v>46223</v>
      </c>
    </row>
    <row r="74" spans="1:10" x14ac:dyDescent="0.25">
      <c r="A74" s="25" t="s">
        <v>9</v>
      </c>
      <c r="B74" s="25" t="s">
        <v>141</v>
      </c>
      <c r="C74" s="25" t="s">
        <v>54</v>
      </c>
      <c r="D74" s="25" t="s">
        <v>51</v>
      </c>
      <c r="E74" s="26">
        <v>4</v>
      </c>
      <c r="F74" s="25" t="s">
        <v>52</v>
      </c>
      <c r="G74" s="27">
        <f>$H$73</f>
        <v>21</v>
      </c>
      <c r="H74" s="27">
        <f>$G74+$E74</f>
        <v>25</v>
      </c>
      <c r="I74" s="28">
        <f>WORKDAY(Settings!$D$10,INT($G74/HoursPerDay)+1,Holidays)</f>
        <v>46224</v>
      </c>
      <c r="J74" s="28">
        <f>IF($E74=0,$I74,WORKDAY(Settings!$D$10,ROUNDUP($H74/HoursPerDay,0),Holidays))</f>
        <v>46224</v>
      </c>
    </row>
    <row r="75" spans="1:10" x14ac:dyDescent="0.25">
      <c r="A75" s="25" t="s">
        <v>9</v>
      </c>
      <c r="B75" s="25" t="s">
        <v>142</v>
      </c>
      <c r="C75" s="25" t="s">
        <v>56</v>
      </c>
      <c r="D75" s="25" t="s">
        <v>51</v>
      </c>
      <c r="E75" s="26">
        <v>6</v>
      </c>
      <c r="F75" s="25" t="s">
        <v>57</v>
      </c>
      <c r="G75" s="27">
        <f>$H$70</f>
        <v>49</v>
      </c>
      <c r="H75" s="27">
        <f>$G75+$E75</f>
        <v>55</v>
      </c>
      <c r="I75" s="28">
        <f>WORKDAY(Settings!$D$10,INT($G75/HoursPerDay)+1,Holidays)</f>
        <v>46230</v>
      </c>
      <c r="J75" s="28">
        <f>IF($E75=0,$I75,WORKDAY(Settings!$D$10,ROUNDUP($H75/HoursPerDay,0),Holidays))</f>
        <v>46230</v>
      </c>
    </row>
    <row r="76" spans="1:10" x14ac:dyDescent="0.25">
      <c r="A76" s="25" t="s">
        <v>9</v>
      </c>
      <c r="B76" s="25" t="s">
        <v>143</v>
      </c>
      <c r="C76" s="25" t="s">
        <v>59</v>
      </c>
      <c r="D76" s="25" t="s">
        <v>51</v>
      </c>
      <c r="E76" s="26">
        <v>8</v>
      </c>
      <c r="F76" s="25" t="s">
        <v>60</v>
      </c>
      <c r="G76" s="27">
        <f>$H$69</f>
        <v>46</v>
      </c>
      <c r="H76" s="27">
        <f>$G76+$E76</f>
        <v>54</v>
      </c>
      <c r="I76" s="28">
        <f>WORKDAY(Settings!$D$10,INT($G76/HoursPerDay)+1,Holidays)</f>
        <v>46227</v>
      </c>
      <c r="J76" s="28">
        <f>IF($E76=0,$I76,WORKDAY(Settings!$D$10,ROUNDUP($H76/HoursPerDay,0),Holidays))</f>
        <v>46230</v>
      </c>
    </row>
    <row r="77" spans="1:10" x14ac:dyDescent="0.25">
      <c r="A77" s="22" t="s">
        <v>9</v>
      </c>
      <c r="B77" s="22" t="s">
        <v>144</v>
      </c>
      <c r="C77" s="22" t="s">
        <v>145</v>
      </c>
      <c r="D77" s="22" t="s">
        <v>48</v>
      </c>
      <c r="E77" s="23">
        <f>SUMIF($D78:$D79,"Task",$E78:$E79)</f>
        <v>0</v>
      </c>
      <c r="F77" s="22"/>
      <c r="G77" s="23"/>
      <c r="H77" s="23"/>
      <c r="I77" s="24">
        <f>MIN($I78:$I79)</f>
        <v>46224</v>
      </c>
      <c r="J77" s="24">
        <f>MAX($J78:$J79)</f>
        <v>46230</v>
      </c>
    </row>
    <row r="78" spans="1:10" x14ac:dyDescent="0.25">
      <c r="A78" s="25" t="s">
        <v>9</v>
      </c>
      <c r="B78" s="25" t="s">
        <v>146</v>
      </c>
      <c r="C78" s="25" t="s">
        <v>54</v>
      </c>
      <c r="D78" s="25" t="s">
        <v>51</v>
      </c>
      <c r="E78" s="26">
        <v>0</v>
      </c>
      <c r="F78" s="25" t="s">
        <v>52</v>
      </c>
      <c r="G78" s="27">
        <f>$H$74</f>
        <v>25</v>
      </c>
      <c r="H78" s="27">
        <f>$G78+$E78</f>
        <v>25</v>
      </c>
      <c r="I78" s="28">
        <f>WORKDAY(Settings!$D$10,INT($G78/HoursPerDay)+1,Holidays)</f>
        <v>46224</v>
      </c>
      <c r="J78" s="28">
        <f>IF($E78=0,$I78,WORKDAY(Settings!$D$10,ROUNDUP($H78/HoursPerDay,0),Holidays))</f>
        <v>46224</v>
      </c>
    </row>
    <row r="79" spans="1:10" x14ac:dyDescent="0.25">
      <c r="A79" s="25" t="s">
        <v>9</v>
      </c>
      <c r="B79" s="25" t="s">
        <v>147</v>
      </c>
      <c r="C79" s="25" t="s">
        <v>56</v>
      </c>
      <c r="D79" s="25" t="s">
        <v>51</v>
      </c>
      <c r="E79" s="26">
        <v>0</v>
      </c>
      <c r="F79" s="25" t="s">
        <v>57</v>
      </c>
      <c r="G79" s="27">
        <f>$H$75</f>
        <v>55</v>
      </c>
      <c r="H79" s="27">
        <f>$G79+$E79</f>
        <v>55</v>
      </c>
      <c r="I79" s="28">
        <f>WORKDAY(Settings!$D$10,INT($G79/HoursPerDay)+1,Holidays)</f>
        <v>46230</v>
      </c>
      <c r="J79" s="28">
        <f>IF($E79=0,$I79,WORKDAY(Settings!$D$10,ROUNDUP($H79/HoursPerDay,0),Holidays))</f>
        <v>46230</v>
      </c>
    </row>
    <row r="80" spans="1:10" x14ac:dyDescent="0.25">
      <c r="A80" s="22" t="s">
        <v>9</v>
      </c>
      <c r="B80" s="22" t="s">
        <v>148</v>
      </c>
      <c r="C80" s="22" t="s">
        <v>149</v>
      </c>
      <c r="D80" s="22" t="s">
        <v>48</v>
      </c>
      <c r="E80" s="23">
        <f>SUMIF($D81:$D83,"Task",$E81:$E83)</f>
        <v>10</v>
      </c>
      <c r="F80" s="22"/>
      <c r="G80" s="23"/>
      <c r="H80" s="23"/>
      <c r="I80" s="24">
        <f>MIN($I81:$I83)</f>
        <v>46224</v>
      </c>
      <c r="J80" s="24">
        <f>MAX($J81:$J83)</f>
        <v>46231</v>
      </c>
    </row>
    <row r="81" spans="1:10" x14ac:dyDescent="0.25">
      <c r="A81" s="25" t="s">
        <v>9</v>
      </c>
      <c r="B81" s="25" t="s">
        <v>150</v>
      </c>
      <c r="C81" s="25" t="s">
        <v>54</v>
      </c>
      <c r="D81" s="25" t="s">
        <v>51</v>
      </c>
      <c r="E81" s="26">
        <v>3</v>
      </c>
      <c r="F81" s="25" t="s">
        <v>52</v>
      </c>
      <c r="G81" s="27">
        <f>$H$78</f>
        <v>25</v>
      </c>
      <c r="H81" s="27">
        <f>$G81+$E81</f>
        <v>28</v>
      </c>
      <c r="I81" s="28">
        <f>WORKDAY(Settings!$D$10,INT($G81/HoursPerDay)+1,Holidays)</f>
        <v>46224</v>
      </c>
      <c r="J81" s="28">
        <f>IF($E81=0,$I81,WORKDAY(Settings!$D$10,ROUNDUP($H81/HoursPerDay,0),Holidays))</f>
        <v>46224</v>
      </c>
    </row>
    <row r="82" spans="1:10" x14ac:dyDescent="0.25">
      <c r="A82" s="25" t="s">
        <v>9</v>
      </c>
      <c r="B82" s="25" t="s">
        <v>151</v>
      </c>
      <c r="C82" s="25" t="s">
        <v>56</v>
      </c>
      <c r="D82" s="25" t="s">
        <v>51</v>
      </c>
      <c r="E82" s="26">
        <v>3</v>
      </c>
      <c r="F82" s="25" t="s">
        <v>57</v>
      </c>
      <c r="G82" s="27">
        <f>$H$79</f>
        <v>55</v>
      </c>
      <c r="H82" s="27">
        <f>$G82+$E82</f>
        <v>58</v>
      </c>
      <c r="I82" s="28">
        <f>WORKDAY(Settings!$D$10,INT($G82/HoursPerDay)+1,Holidays)</f>
        <v>46230</v>
      </c>
      <c r="J82" s="28">
        <f>IF($E82=0,$I82,WORKDAY(Settings!$D$10,ROUNDUP($H82/HoursPerDay,0),Holidays))</f>
        <v>46231</v>
      </c>
    </row>
    <row r="83" spans="1:10" x14ac:dyDescent="0.25">
      <c r="A83" s="25" t="s">
        <v>9</v>
      </c>
      <c r="B83" s="25" t="s">
        <v>152</v>
      </c>
      <c r="C83" s="25" t="s">
        <v>59</v>
      </c>
      <c r="D83" s="25" t="s">
        <v>51</v>
      </c>
      <c r="E83" s="26">
        <v>4</v>
      </c>
      <c r="F83" s="25" t="s">
        <v>60</v>
      </c>
      <c r="G83" s="27">
        <f>$H$76</f>
        <v>54</v>
      </c>
      <c r="H83" s="27">
        <f>$G83+$E83</f>
        <v>58</v>
      </c>
      <c r="I83" s="28">
        <f>WORKDAY(Settings!$D$10,INT($G83/HoursPerDay)+1,Holidays)</f>
        <v>46230</v>
      </c>
      <c r="J83" s="28">
        <f>IF($E83=0,$I83,WORKDAY(Settings!$D$10,ROUNDUP($H83/HoursPerDay,0),Holidays))</f>
        <v>46231</v>
      </c>
    </row>
    <row r="84" spans="1:10" x14ac:dyDescent="0.25">
      <c r="A84" s="22" t="s">
        <v>9</v>
      </c>
      <c r="B84" s="22" t="s">
        <v>153</v>
      </c>
      <c r="C84" s="22" t="s">
        <v>154</v>
      </c>
      <c r="D84" s="22" t="s">
        <v>48</v>
      </c>
      <c r="E84" s="23">
        <f>SUMIF($D85:$D86,"Task",$E85:$E86)</f>
        <v>12</v>
      </c>
      <c r="F84" s="22"/>
      <c r="G84" s="23"/>
      <c r="H84" s="23"/>
      <c r="I84" s="24">
        <f>MIN($I85:$I86)</f>
        <v>46225</v>
      </c>
      <c r="J84" s="24">
        <f>MAX($J85:$J86)</f>
        <v>46231</v>
      </c>
    </row>
    <row r="85" spans="1:10" x14ac:dyDescent="0.25">
      <c r="A85" s="25" t="s">
        <v>9</v>
      </c>
      <c r="B85" s="25" t="s">
        <v>155</v>
      </c>
      <c r="C85" s="25" t="s">
        <v>54</v>
      </c>
      <c r="D85" s="25" t="s">
        <v>51</v>
      </c>
      <c r="E85" s="26">
        <v>8</v>
      </c>
      <c r="F85" s="25" t="s">
        <v>52</v>
      </c>
      <c r="G85" s="27">
        <f>$H$81</f>
        <v>28</v>
      </c>
      <c r="H85" s="27">
        <f>$G85+$E85</f>
        <v>36</v>
      </c>
      <c r="I85" s="28">
        <f>WORKDAY(Settings!$D$10,INT($G85/HoursPerDay)+1,Holidays)</f>
        <v>46225</v>
      </c>
      <c r="J85" s="28">
        <f>IF($E85=0,$I85,WORKDAY(Settings!$D$10,ROUNDUP($H85/HoursPerDay,0),Holidays))</f>
        <v>46226</v>
      </c>
    </row>
    <row r="86" spans="1:10" x14ac:dyDescent="0.25">
      <c r="A86" s="25" t="s">
        <v>9</v>
      </c>
      <c r="B86" s="25" t="s">
        <v>156</v>
      </c>
      <c r="C86" s="25" t="s">
        <v>56</v>
      </c>
      <c r="D86" s="25" t="s">
        <v>51</v>
      </c>
      <c r="E86" s="26">
        <v>4</v>
      </c>
      <c r="F86" s="25" t="s">
        <v>57</v>
      </c>
      <c r="G86" s="27">
        <f>$H$82</f>
        <v>58</v>
      </c>
      <c r="H86" s="27">
        <f>$G86+$E86</f>
        <v>62</v>
      </c>
      <c r="I86" s="28">
        <f>WORKDAY(Settings!$D$10,INT($G86/HoursPerDay)+1,Holidays)</f>
        <v>46231</v>
      </c>
      <c r="J86" s="28">
        <f>IF($E86=0,$I86,WORKDAY(Settings!$D$10,ROUNDUP($H86/HoursPerDay,0),Holidays))</f>
        <v>46231</v>
      </c>
    </row>
    <row r="87" spans="1:10" x14ac:dyDescent="0.25">
      <c r="A87" s="22" t="s">
        <v>9</v>
      </c>
      <c r="B87" s="22" t="s">
        <v>157</v>
      </c>
      <c r="C87" s="22" t="s">
        <v>158</v>
      </c>
      <c r="D87" s="22" t="s">
        <v>48</v>
      </c>
      <c r="E87" s="23">
        <f>SUMIF($D88:$D90,"Task",$E88:$E90)</f>
        <v>12</v>
      </c>
      <c r="F87" s="22"/>
      <c r="G87" s="23"/>
      <c r="H87" s="23"/>
      <c r="I87" s="24">
        <f>MIN($I88:$I90)</f>
        <v>46226</v>
      </c>
      <c r="J87" s="24">
        <f>MAX($J88:$J90)</f>
        <v>46232</v>
      </c>
    </row>
    <row r="88" spans="1:10" x14ac:dyDescent="0.25">
      <c r="A88" s="25" t="s">
        <v>9</v>
      </c>
      <c r="B88" s="25" t="s">
        <v>159</v>
      </c>
      <c r="C88" s="25" t="s">
        <v>54</v>
      </c>
      <c r="D88" s="25" t="s">
        <v>51</v>
      </c>
      <c r="E88" s="26">
        <v>3</v>
      </c>
      <c r="F88" s="25" t="s">
        <v>52</v>
      </c>
      <c r="G88" s="27">
        <f>$H$85</f>
        <v>36</v>
      </c>
      <c r="H88" s="27">
        <f>$G88+$E88</f>
        <v>39</v>
      </c>
      <c r="I88" s="28">
        <f>WORKDAY(Settings!$D$10,INT($G88/HoursPerDay)+1,Holidays)</f>
        <v>46226</v>
      </c>
      <c r="J88" s="28">
        <f>IF($E88=0,$I88,WORKDAY(Settings!$D$10,ROUNDUP($H88/HoursPerDay,0),Holidays))</f>
        <v>46226</v>
      </c>
    </row>
    <row r="89" spans="1:10" x14ac:dyDescent="0.25">
      <c r="A89" s="25" t="s">
        <v>9</v>
      </c>
      <c r="B89" s="25" t="s">
        <v>160</v>
      </c>
      <c r="C89" s="25" t="s">
        <v>56</v>
      </c>
      <c r="D89" s="25" t="s">
        <v>51</v>
      </c>
      <c r="E89" s="26">
        <v>3</v>
      </c>
      <c r="F89" s="25" t="s">
        <v>57</v>
      </c>
      <c r="G89" s="27">
        <f>$H$86</f>
        <v>62</v>
      </c>
      <c r="H89" s="27">
        <f>$G89+$E89</f>
        <v>65</v>
      </c>
      <c r="I89" s="28">
        <f>WORKDAY(Settings!$D$10,INT($G89/HoursPerDay)+1,Holidays)</f>
        <v>46231</v>
      </c>
      <c r="J89" s="28">
        <f>IF($E89=0,$I89,WORKDAY(Settings!$D$10,ROUNDUP($H89/HoursPerDay,0),Holidays))</f>
        <v>46232</v>
      </c>
    </row>
    <row r="90" spans="1:10" x14ac:dyDescent="0.25">
      <c r="A90" s="25" t="s">
        <v>9</v>
      </c>
      <c r="B90" s="25" t="s">
        <v>161</v>
      </c>
      <c r="C90" s="25" t="s">
        <v>59</v>
      </c>
      <c r="D90" s="25" t="s">
        <v>51</v>
      </c>
      <c r="E90" s="26">
        <v>6</v>
      </c>
      <c r="F90" s="25" t="s">
        <v>60</v>
      </c>
      <c r="G90" s="27">
        <f>$H$83</f>
        <v>58</v>
      </c>
      <c r="H90" s="27">
        <f>$G90+$E90</f>
        <v>64</v>
      </c>
      <c r="I90" s="28">
        <f>WORKDAY(Settings!$D$10,INT($G90/HoursPerDay)+1,Holidays)</f>
        <v>46231</v>
      </c>
      <c r="J90" s="28">
        <f>IF($E90=0,$I90,WORKDAY(Settings!$D$10,ROUNDUP($H90/HoursPerDay,0),Holidays))</f>
        <v>46232</v>
      </c>
    </row>
    <row r="91" spans="1:10" x14ac:dyDescent="0.25">
      <c r="A91" s="22" t="s">
        <v>9</v>
      </c>
      <c r="B91" s="22" t="s">
        <v>162</v>
      </c>
      <c r="C91" s="22" t="s">
        <v>163</v>
      </c>
      <c r="D91" s="22" t="s">
        <v>48</v>
      </c>
      <c r="E91" s="23">
        <f>SUMIF($D92:$D95,"Task",$E92:$E95)</f>
        <v>10</v>
      </c>
      <c r="F91" s="22"/>
      <c r="G91" s="23"/>
      <c r="H91" s="23"/>
      <c r="I91" s="24">
        <f>MIN($I92:$I95)</f>
        <v>46226</v>
      </c>
      <c r="J91" s="24">
        <f>MAX($J92:$J95)</f>
        <v>46232</v>
      </c>
    </row>
    <row r="92" spans="1:10" x14ac:dyDescent="0.25">
      <c r="A92" s="25" t="s">
        <v>9</v>
      </c>
      <c r="B92" s="25" t="s">
        <v>164</v>
      </c>
      <c r="C92" s="25" t="s">
        <v>50</v>
      </c>
      <c r="D92" s="25" t="s">
        <v>51</v>
      </c>
      <c r="E92" s="26">
        <v>2</v>
      </c>
      <c r="F92" s="25" t="s">
        <v>52</v>
      </c>
      <c r="G92" s="27">
        <f>$H$88</f>
        <v>39</v>
      </c>
      <c r="H92" s="27">
        <f>$G92+$E92</f>
        <v>41</v>
      </c>
      <c r="I92" s="28">
        <f>WORKDAY(Settings!$D$10,INT($G92/HoursPerDay)+1,Holidays)</f>
        <v>46226</v>
      </c>
      <c r="J92" s="28">
        <f>IF($E92=0,$I92,WORKDAY(Settings!$D$10,ROUNDUP($H92/HoursPerDay,0),Holidays))</f>
        <v>46226</v>
      </c>
    </row>
    <row r="93" spans="1:10" x14ac:dyDescent="0.25">
      <c r="A93" s="25" t="s">
        <v>9</v>
      </c>
      <c r="B93" s="25" t="s">
        <v>165</v>
      </c>
      <c r="C93" s="25" t="s">
        <v>54</v>
      </c>
      <c r="D93" s="25" t="s">
        <v>51</v>
      </c>
      <c r="E93" s="26">
        <v>3</v>
      </c>
      <c r="F93" s="25" t="s">
        <v>52</v>
      </c>
      <c r="G93" s="27">
        <f>$H$92</f>
        <v>41</v>
      </c>
      <c r="H93" s="27">
        <f>$G93+$E93</f>
        <v>44</v>
      </c>
      <c r="I93" s="28">
        <f>WORKDAY(Settings!$D$10,INT($G93/HoursPerDay)+1,Holidays)</f>
        <v>46226</v>
      </c>
      <c r="J93" s="28">
        <f>IF($E93=0,$I93,WORKDAY(Settings!$D$10,ROUNDUP($H93/HoursPerDay,0),Holidays))</f>
        <v>46227</v>
      </c>
    </row>
    <row r="94" spans="1:10" x14ac:dyDescent="0.25">
      <c r="A94" s="25" t="s">
        <v>9</v>
      </c>
      <c r="B94" s="25" t="s">
        <v>166</v>
      </c>
      <c r="C94" s="25" t="s">
        <v>56</v>
      </c>
      <c r="D94" s="25" t="s">
        <v>51</v>
      </c>
      <c r="E94" s="26">
        <v>3</v>
      </c>
      <c r="F94" s="25" t="s">
        <v>57</v>
      </c>
      <c r="G94" s="27">
        <f>$H$89</f>
        <v>65</v>
      </c>
      <c r="H94" s="27">
        <f>$G94+$E94</f>
        <v>68</v>
      </c>
      <c r="I94" s="28">
        <f>WORKDAY(Settings!$D$10,INT($G94/HoursPerDay)+1,Holidays)</f>
        <v>46232</v>
      </c>
      <c r="J94" s="28">
        <f>IF($E94=0,$I94,WORKDAY(Settings!$D$10,ROUNDUP($H94/HoursPerDay,0),Holidays))</f>
        <v>46232</v>
      </c>
    </row>
    <row r="95" spans="1:10" x14ac:dyDescent="0.25">
      <c r="A95" s="25" t="s">
        <v>9</v>
      </c>
      <c r="B95" s="25" t="s">
        <v>167</v>
      </c>
      <c r="C95" s="25" t="s">
        <v>59</v>
      </c>
      <c r="D95" s="25" t="s">
        <v>51</v>
      </c>
      <c r="E95" s="26">
        <v>2</v>
      </c>
      <c r="F95" s="25" t="s">
        <v>60</v>
      </c>
      <c r="G95" s="27">
        <f>$H$90</f>
        <v>64</v>
      </c>
      <c r="H95" s="27">
        <f>$G95+$E95</f>
        <v>66</v>
      </c>
      <c r="I95" s="28">
        <f>WORKDAY(Settings!$D$10,INT($G95/HoursPerDay)+1,Holidays)</f>
        <v>46232</v>
      </c>
      <c r="J95" s="28">
        <f>IF($E95=0,$I95,WORKDAY(Settings!$D$10,ROUNDUP($H95/HoursPerDay,0),Holidays))</f>
        <v>46232</v>
      </c>
    </row>
    <row r="96" spans="1:10" x14ac:dyDescent="0.25">
      <c r="A96" s="22" t="s">
        <v>9</v>
      </c>
      <c r="B96" s="22" t="s">
        <v>168</v>
      </c>
      <c r="C96" s="22" t="s">
        <v>169</v>
      </c>
      <c r="D96" s="22" t="s">
        <v>48</v>
      </c>
      <c r="E96" s="23">
        <f>SUMIF($D97:$D99,"Task",$E97:$E99)</f>
        <v>12</v>
      </c>
      <c r="F96" s="22"/>
      <c r="G96" s="23"/>
      <c r="H96" s="23"/>
      <c r="I96" s="24">
        <f>MIN($I97:$I99)</f>
        <v>46227</v>
      </c>
      <c r="J96" s="24">
        <f>MAX($J97:$J99)</f>
        <v>46233</v>
      </c>
    </row>
    <row r="97" spans="1:10" x14ac:dyDescent="0.25">
      <c r="A97" s="25" t="s">
        <v>9</v>
      </c>
      <c r="B97" s="25" t="s">
        <v>170</v>
      </c>
      <c r="C97" s="25" t="s">
        <v>59</v>
      </c>
      <c r="D97" s="25" t="s">
        <v>51</v>
      </c>
      <c r="E97" s="26">
        <v>4</v>
      </c>
      <c r="F97" s="25" t="s">
        <v>52</v>
      </c>
      <c r="G97" s="27">
        <f>$H$93</f>
        <v>44</v>
      </c>
      <c r="H97" s="27">
        <f>$G97+$E97</f>
        <v>48</v>
      </c>
      <c r="I97" s="28">
        <f>WORKDAY(Settings!$D$10,INT($G97/HoursPerDay)+1,Holidays)</f>
        <v>46227</v>
      </c>
      <c r="J97" s="28">
        <f>IF($E97=0,$I97,WORKDAY(Settings!$D$10,ROUNDUP($H97/HoursPerDay,0),Holidays))</f>
        <v>46227</v>
      </c>
    </row>
    <row r="98" spans="1:10" x14ac:dyDescent="0.25">
      <c r="A98" s="25" t="s">
        <v>9</v>
      </c>
      <c r="B98" s="25" t="s">
        <v>171</v>
      </c>
      <c r="C98" s="25" t="s">
        <v>54</v>
      </c>
      <c r="D98" s="25" t="s">
        <v>51</v>
      </c>
      <c r="E98" s="26">
        <v>4</v>
      </c>
      <c r="F98" s="25" t="s">
        <v>52</v>
      </c>
      <c r="G98" s="27">
        <f>$H$97</f>
        <v>48</v>
      </c>
      <c r="H98" s="27">
        <f>$G98+$E98</f>
        <v>52</v>
      </c>
      <c r="I98" s="28">
        <f>WORKDAY(Settings!$D$10,INT($G98/HoursPerDay)+1,Holidays)</f>
        <v>46227</v>
      </c>
      <c r="J98" s="28">
        <f>IF($E98=0,$I98,WORKDAY(Settings!$D$10,ROUNDUP($H98/HoursPerDay,0),Holidays))</f>
        <v>46230</v>
      </c>
    </row>
    <row r="99" spans="1:10" x14ac:dyDescent="0.25">
      <c r="A99" s="25" t="s">
        <v>9</v>
      </c>
      <c r="B99" s="25" t="s">
        <v>172</v>
      </c>
      <c r="C99" s="25" t="s">
        <v>56</v>
      </c>
      <c r="D99" s="25" t="s">
        <v>51</v>
      </c>
      <c r="E99" s="26">
        <v>4</v>
      </c>
      <c r="F99" s="25" t="s">
        <v>57</v>
      </c>
      <c r="G99" s="27">
        <f>$H$94</f>
        <v>68</v>
      </c>
      <c r="H99" s="27">
        <f>$G99+$E99</f>
        <v>72</v>
      </c>
      <c r="I99" s="28">
        <f>WORKDAY(Settings!$D$10,INT($G99/HoursPerDay)+1,Holidays)</f>
        <v>46232</v>
      </c>
      <c r="J99" s="28">
        <f>IF($E99=0,$I99,WORKDAY(Settings!$D$10,ROUNDUP($H99/HoursPerDay,0),Holidays))</f>
        <v>46233</v>
      </c>
    </row>
    <row r="100" spans="1:10" x14ac:dyDescent="0.25">
      <c r="A100" s="19" t="s">
        <v>9</v>
      </c>
      <c r="B100" s="19" t="s">
        <v>173</v>
      </c>
      <c r="C100" s="19" t="s">
        <v>174</v>
      </c>
      <c r="D100" s="19" t="s">
        <v>45</v>
      </c>
      <c r="E100" s="20">
        <f>SUMIF($D101:$D125,"Task",$E101:$E125)</f>
        <v>71</v>
      </c>
      <c r="F100" s="19"/>
      <c r="G100" s="20"/>
      <c r="H100" s="20"/>
      <c r="I100" s="21">
        <f>MIN($I101:$I125)</f>
        <v>46230</v>
      </c>
      <c r="J100" s="21">
        <f>MAX($J101:$J125)</f>
        <v>46238</v>
      </c>
    </row>
    <row r="101" spans="1:10" x14ac:dyDescent="0.25">
      <c r="A101" s="22" t="s">
        <v>9</v>
      </c>
      <c r="B101" s="22" t="s">
        <v>175</v>
      </c>
      <c r="C101" s="22" t="s">
        <v>176</v>
      </c>
      <c r="D101" s="22" t="s">
        <v>48</v>
      </c>
      <c r="E101" s="23">
        <f>SUMIF($D102:$D104,"Task",$E102:$E104)</f>
        <v>13</v>
      </c>
      <c r="F101" s="22"/>
      <c r="G101" s="23"/>
      <c r="H101" s="23"/>
      <c r="I101" s="24">
        <f>MIN($I102:$I104)</f>
        <v>46230</v>
      </c>
      <c r="J101" s="24">
        <f>MAX($J102:$J104)</f>
        <v>46233</v>
      </c>
    </row>
    <row r="102" spans="1:10" x14ac:dyDescent="0.25">
      <c r="A102" s="25" t="s">
        <v>9</v>
      </c>
      <c r="B102" s="25" t="s">
        <v>177</v>
      </c>
      <c r="C102" s="25" t="s">
        <v>50</v>
      </c>
      <c r="D102" s="25" t="s">
        <v>51</v>
      </c>
      <c r="E102" s="26">
        <v>2</v>
      </c>
      <c r="F102" s="25" t="s">
        <v>78</v>
      </c>
      <c r="G102" s="27">
        <f>$H$68</f>
        <v>50</v>
      </c>
      <c r="H102" s="27">
        <f>$G102+$E102</f>
        <v>52</v>
      </c>
      <c r="I102" s="28">
        <f>WORKDAY(Settings!$D$10,INT($G102/HoursPerDay)+1,Holidays)</f>
        <v>46230</v>
      </c>
      <c r="J102" s="28">
        <f>IF($E102=0,$I102,WORKDAY(Settings!$D$10,ROUNDUP($H102/HoursPerDay,0),Holidays))</f>
        <v>46230</v>
      </c>
    </row>
    <row r="103" spans="1:10" x14ac:dyDescent="0.25">
      <c r="A103" s="25" t="s">
        <v>9</v>
      </c>
      <c r="B103" s="25" t="s">
        <v>178</v>
      </c>
      <c r="C103" s="25" t="s">
        <v>54</v>
      </c>
      <c r="D103" s="25" t="s">
        <v>51</v>
      </c>
      <c r="E103" s="26">
        <v>6</v>
      </c>
      <c r="F103" s="25" t="s">
        <v>78</v>
      </c>
      <c r="G103" s="27">
        <f>$H$102</f>
        <v>52</v>
      </c>
      <c r="H103" s="27">
        <f>$G103+$E103</f>
        <v>58</v>
      </c>
      <c r="I103" s="28">
        <f>WORKDAY(Settings!$D$10,INT($G103/HoursPerDay)+1,Holidays)</f>
        <v>46230</v>
      </c>
      <c r="J103" s="28">
        <f>IF($E103=0,$I103,WORKDAY(Settings!$D$10,ROUNDUP($H103/HoursPerDay,0),Holidays))</f>
        <v>46231</v>
      </c>
    </row>
    <row r="104" spans="1:10" x14ac:dyDescent="0.25">
      <c r="A104" s="25" t="s">
        <v>9</v>
      </c>
      <c r="B104" s="25" t="s">
        <v>179</v>
      </c>
      <c r="C104" s="25" t="s">
        <v>56</v>
      </c>
      <c r="D104" s="25" t="s">
        <v>51</v>
      </c>
      <c r="E104" s="26">
        <v>5</v>
      </c>
      <c r="F104" s="25" t="s">
        <v>57</v>
      </c>
      <c r="G104" s="27">
        <f>$H$99</f>
        <v>72</v>
      </c>
      <c r="H104" s="27">
        <f>$G104+$E104</f>
        <v>77</v>
      </c>
      <c r="I104" s="28">
        <f>WORKDAY(Settings!$D$10,INT($G104/HoursPerDay)+1,Holidays)</f>
        <v>46233</v>
      </c>
      <c r="J104" s="28">
        <f>IF($E104=0,$I104,WORKDAY(Settings!$D$10,ROUNDUP($H104/HoursPerDay,0),Holidays))</f>
        <v>46233</v>
      </c>
    </row>
    <row r="105" spans="1:10" x14ac:dyDescent="0.25">
      <c r="A105" s="22" t="s">
        <v>9</v>
      </c>
      <c r="B105" s="22" t="s">
        <v>180</v>
      </c>
      <c r="C105" s="22" t="s">
        <v>181</v>
      </c>
      <c r="D105" s="22" t="s">
        <v>48</v>
      </c>
      <c r="E105" s="23">
        <f>SUMIF($D106:$D108,"Task",$E106:$E108)</f>
        <v>18</v>
      </c>
      <c r="F105" s="22"/>
      <c r="G105" s="23"/>
      <c r="H105" s="23"/>
      <c r="I105" s="24">
        <f>MIN($I106:$I108)</f>
        <v>46231</v>
      </c>
      <c r="J105" s="24">
        <f>MAX($J106:$J108)</f>
        <v>46234</v>
      </c>
    </row>
    <row r="106" spans="1:10" x14ac:dyDescent="0.25">
      <c r="A106" s="25" t="s">
        <v>9</v>
      </c>
      <c r="B106" s="25" t="s">
        <v>182</v>
      </c>
      <c r="C106" s="25" t="s">
        <v>50</v>
      </c>
      <c r="D106" s="25" t="s">
        <v>51</v>
      </c>
      <c r="E106" s="26">
        <v>6</v>
      </c>
      <c r="F106" s="25" t="s">
        <v>78</v>
      </c>
      <c r="G106" s="27">
        <f>$H$103</f>
        <v>58</v>
      </c>
      <c r="H106" s="27">
        <f>$G106+$E106</f>
        <v>64</v>
      </c>
      <c r="I106" s="28">
        <f>WORKDAY(Settings!$D$10,INT($G106/HoursPerDay)+1,Holidays)</f>
        <v>46231</v>
      </c>
      <c r="J106" s="28">
        <f>IF($E106=0,$I106,WORKDAY(Settings!$D$10,ROUNDUP($H106/HoursPerDay,0),Holidays))</f>
        <v>46232</v>
      </c>
    </row>
    <row r="107" spans="1:10" x14ac:dyDescent="0.25">
      <c r="A107" s="25" t="s">
        <v>9</v>
      </c>
      <c r="B107" s="25" t="s">
        <v>183</v>
      </c>
      <c r="C107" s="25" t="s">
        <v>54</v>
      </c>
      <c r="D107" s="25" t="s">
        <v>51</v>
      </c>
      <c r="E107" s="26">
        <v>6</v>
      </c>
      <c r="F107" s="25" t="s">
        <v>78</v>
      </c>
      <c r="G107" s="27">
        <f>$H$106</f>
        <v>64</v>
      </c>
      <c r="H107" s="27">
        <f>$G107+$E107</f>
        <v>70</v>
      </c>
      <c r="I107" s="28">
        <f>WORKDAY(Settings!$D$10,INT($G107/HoursPerDay)+1,Holidays)</f>
        <v>46232</v>
      </c>
      <c r="J107" s="28">
        <f>IF($E107=0,$I107,WORKDAY(Settings!$D$10,ROUNDUP($H107/HoursPerDay,0),Holidays))</f>
        <v>46232</v>
      </c>
    </row>
    <row r="108" spans="1:10" x14ac:dyDescent="0.25">
      <c r="A108" s="25" t="s">
        <v>9</v>
      </c>
      <c r="B108" s="25" t="s">
        <v>184</v>
      </c>
      <c r="C108" s="25" t="s">
        <v>56</v>
      </c>
      <c r="D108" s="25" t="s">
        <v>51</v>
      </c>
      <c r="E108" s="26">
        <v>6</v>
      </c>
      <c r="F108" s="25" t="s">
        <v>57</v>
      </c>
      <c r="G108" s="27">
        <f>$H$104</f>
        <v>77</v>
      </c>
      <c r="H108" s="27">
        <f>$G108+$E108</f>
        <v>83</v>
      </c>
      <c r="I108" s="28">
        <f>WORKDAY(Settings!$D$10,INT($G108/HoursPerDay)+1,Holidays)</f>
        <v>46234</v>
      </c>
      <c r="J108" s="28">
        <f>IF($E108=0,$I108,WORKDAY(Settings!$D$10,ROUNDUP($H108/HoursPerDay,0),Holidays))</f>
        <v>46234</v>
      </c>
    </row>
    <row r="109" spans="1:10" x14ac:dyDescent="0.25">
      <c r="A109" s="22" t="s">
        <v>9</v>
      </c>
      <c r="B109" s="22" t="s">
        <v>185</v>
      </c>
      <c r="C109" s="22" t="s">
        <v>186</v>
      </c>
      <c r="D109" s="22" t="s">
        <v>48</v>
      </c>
      <c r="E109" s="23">
        <f>SUMIF($D110:$D112,"Task",$E110:$E112)</f>
        <v>8</v>
      </c>
      <c r="F109" s="22"/>
      <c r="G109" s="23"/>
      <c r="H109" s="23"/>
      <c r="I109" s="24">
        <f>MIN($I110:$I112)</f>
        <v>46232</v>
      </c>
      <c r="J109" s="24">
        <f>MAX($J110:$J112)</f>
        <v>46237</v>
      </c>
    </row>
    <row r="110" spans="1:10" x14ac:dyDescent="0.25">
      <c r="A110" s="25" t="s">
        <v>9</v>
      </c>
      <c r="B110" s="25" t="s">
        <v>187</v>
      </c>
      <c r="C110" s="25" t="s">
        <v>54</v>
      </c>
      <c r="D110" s="25" t="s">
        <v>51</v>
      </c>
      <c r="E110" s="26">
        <v>2</v>
      </c>
      <c r="F110" s="25" t="s">
        <v>78</v>
      </c>
      <c r="G110" s="27">
        <f>$H$107</f>
        <v>70</v>
      </c>
      <c r="H110" s="27">
        <f>$G110+$E110</f>
        <v>72</v>
      </c>
      <c r="I110" s="28">
        <f>WORKDAY(Settings!$D$10,INT($G110/HoursPerDay)+1,Holidays)</f>
        <v>46233</v>
      </c>
      <c r="J110" s="28">
        <f>IF($E110=0,$I110,WORKDAY(Settings!$D$10,ROUNDUP($H110/HoursPerDay,0),Holidays))</f>
        <v>46233</v>
      </c>
    </row>
    <row r="111" spans="1:10" x14ac:dyDescent="0.25">
      <c r="A111" s="25" t="s">
        <v>9</v>
      </c>
      <c r="B111" s="25" t="s">
        <v>188</v>
      </c>
      <c r="C111" s="25" t="s">
        <v>59</v>
      </c>
      <c r="D111" s="25" t="s">
        <v>51</v>
      </c>
      <c r="E111" s="26">
        <v>4</v>
      </c>
      <c r="F111" s="25" t="s">
        <v>60</v>
      </c>
      <c r="G111" s="27">
        <f>$H$95</f>
        <v>66</v>
      </c>
      <c r="H111" s="27">
        <f>$G111+$E111</f>
        <v>70</v>
      </c>
      <c r="I111" s="28">
        <f>WORKDAY(Settings!$D$10,INT($G111/HoursPerDay)+1,Holidays)</f>
        <v>46232</v>
      </c>
      <c r="J111" s="28">
        <f>IF($E111=0,$I111,WORKDAY(Settings!$D$10,ROUNDUP($H111/HoursPerDay,0),Holidays))</f>
        <v>46232</v>
      </c>
    </row>
    <row r="112" spans="1:10" x14ac:dyDescent="0.25">
      <c r="A112" s="25" t="s">
        <v>9</v>
      </c>
      <c r="B112" s="25" t="s">
        <v>188</v>
      </c>
      <c r="C112" s="25" t="s">
        <v>56</v>
      </c>
      <c r="D112" s="25" t="s">
        <v>51</v>
      </c>
      <c r="E112" s="26">
        <v>2</v>
      </c>
      <c r="F112" s="25" t="s">
        <v>57</v>
      </c>
      <c r="G112" s="27">
        <f>$H$108</f>
        <v>83</v>
      </c>
      <c r="H112" s="27">
        <f>$G112+$E112</f>
        <v>85</v>
      </c>
      <c r="I112" s="28">
        <f>WORKDAY(Settings!$D$10,INT($G112/HoursPerDay)+1,Holidays)</f>
        <v>46234</v>
      </c>
      <c r="J112" s="28">
        <f>IF($E112=0,$I112,WORKDAY(Settings!$D$10,ROUNDUP($H112/HoursPerDay,0),Holidays))</f>
        <v>46237</v>
      </c>
    </row>
    <row r="113" spans="1:10" x14ac:dyDescent="0.25">
      <c r="A113" s="22" t="s">
        <v>9</v>
      </c>
      <c r="B113" s="22" t="s">
        <v>189</v>
      </c>
      <c r="C113" s="22" t="s">
        <v>190</v>
      </c>
      <c r="D113" s="22" t="s">
        <v>48</v>
      </c>
      <c r="E113" s="23">
        <f>SUMIF($D114:$D117,"Task",$E114:$E117)</f>
        <v>12</v>
      </c>
      <c r="F113" s="22"/>
      <c r="G113" s="23"/>
      <c r="H113" s="23"/>
      <c r="I113" s="24">
        <f>MIN($I114:$I117)</f>
        <v>46233</v>
      </c>
      <c r="J113" s="24">
        <f>MAX($J114:$J117)</f>
        <v>46237</v>
      </c>
    </row>
    <row r="114" spans="1:10" x14ac:dyDescent="0.25">
      <c r="A114" s="25" t="s">
        <v>9</v>
      </c>
      <c r="B114" s="25" t="s">
        <v>191</v>
      </c>
      <c r="C114" s="25" t="s">
        <v>50</v>
      </c>
      <c r="D114" s="25" t="s">
        <v>51</v>
      </c>
      <c r="E114" s="26">
        <v>2</v>
      </c>
      <c r="F114" s="25" t="s">
        <v>78</v>
      </c>
      <c r="G114" s="27">
        <f>$H$110</f>
        <v>72</v>
      </c>
      <c r="H114" s="27">
        <f>$G114+$E114</f>
        <v>74</v>
      </c>
      <c r="I114" s="28">
        <f>WORKDAY(Settings!$D$10,INT($G114/HoursPerDay)+1,Holidays)</f>
        <v>46233</v>
      </c>
      <c r="J114" s="28">
        <f>IF($E114=0,$I114,WORKDAY(Settings!$D$10,ROUNDUP($H114/HoursPerDay,0),Holidays))</f>
        <v>46233</v>
      </c>
    </row>
    <row r="115" spans="1:10" x14ac:dyDescent="0.25">
      <c r="A115" s="25" t="s">
        <v>9</v>
      </c>
      <c r="B115" s="25" t="s">
        <v>192</v>
      </c>
      <c r="C115" s="25" t="s">
        <v>54</v>
      </c>
      <c r="D115" s="25" t="s">
        <v>51</v>
      </c>
      <c r="E115" s="26">
        <v>3</v>
      </c>
      <c r="F115" s="25" t="s">
        <v>78</v>
      </c>
      <c r="G115" s="27">
        <f>$H$114</f>
        <v>74</v>
      </c>
      <c r="H115" s="27">
        <f>$G115+$E115</f>
        <v>77</v>
      </c>
      <c r="I115" s="28">
        <f>WORKDAY(Settings!$D$10,INT($G115/HoursPerDay)+1,Holidays)</f>
        <v>46233</v>
      </c>
      <c r="J115" s="28">
        <f>IF($E115=0,$I115,WORKDAY(Settings!$D$10,ROUNDUP($H115/HoursPerDay,0),Holidays))</f>
        <v>46233</v>
      </c>
    </row>
    <row r="116" spans="1:10" x14ac:dyDescent="0.25">
      <c r="A116" s="25" t="s">
        <v>9</v>
      </c>
      <c r="B116" s="25" t="s">
        <v>193</v>
      </c>
      <c r="C116" s="25" t="s">
        <v>56</v>
      </c>
      <c r="D116" s="25" t="s">
        <v>51</v>
      </c>
      <c r="E116" s="26">
        <v>3</v>
      </c>
      <c r="F116" s="25" t="s">
        <v>57</v>
      </c>
      <c r="G116" s="27">
        <f>$H$112</f>
        <v>85</v>
      </c>
      <c r="H116" s="27">
        <f>$G116+$E116</f>
        <v>88</v>
      </c>
      <c r="I116" s="28">
        <f>WORKDAY(Settings!$D$10,INT($G116/HoursPerDay)+1,Holidays)</f>
        <v>46237</v>
      </c>
      <c r="J116" s="28">
        <f>IF($E116=0,$I116,WORKDAY(Settings!$D$10,ROUNDUP($H116/HoursPerDay,0),Holidays))</f>
        <v>46237</v>
      </c>
    </row>
    <row r="117" spans="1:10" x14ac:dyDescent="0.25">
      <c r="A117" s="25" t="s">
        <v>9</v>
      </c>
      <c r="B117" s="25" t="s">
        <v>194</v>
      </c>
      <c r="C117" s="25" t="s">
        <v>59</v>
      </c>
      <c r="D117" s="25" t="s">
        <v>51</v>
      </c>
      <c r="E117" s="26">
        <v>4</v>
      </c>
      <c r="F117" s="25" t="s">
        <v>60</v>
      </c>
      <c r="G117" s="27">
        <f>$H$111</f>
        <v>70</v>
      </c>
      <c r="H117" s="27">
        <f>$G117+$E117</f>
        <v>74</v>
      </c>
      <c r="I117" s="28">
        <f>WORKDAY(Settings!$D$10,INT($G117/HoursPerDay)+1,Holidays)</f>
        <v>46233</v>
      </c>
      <c r="J117" s="28">
        <f>IF($E117=0,$I117,WORKDAY(Settings!$D$10,ROUNDUP($H117/HoursPerDay,0),Holidays))</f>
        <v>46233</v>
      </c>
    </row>
    <row r="118" spans="1:10" x14ac:dyDescent="0.25">
      <c r="A118" s="22" t="s">
        <v>9</v>
      </c>
      <c r="B118" s="22" t="s">
        <v>195</v>
      </c>
      <c r="C118" s="22" t="s">
        <v>196</v>
      </c>
      <c r="D118" s="22" t="s">
        <v>48</v>
      </c>
      <c r="E118" s="23">
        <f>SUMIF($D119:$D121,"Task",$E119:$E121)</f>
        <v>10</v>
      </c>
      <c r="F118" s="22"/>
      <c r="G118" s="23"/>
      <c r="H118" s="23"/>
      <c r="I118" s="24">
        <f>MIN($I119:$I121)</f>
        <v>46234</v>
      </c>
      <c r="J118" s="24">
        <f>MAX($J119:$J121)</f>
        <v>46238</v>
      </c>
    </row>
    <row r="119" spans="1:10" x14ac:dyDescent="0.25">
      <c r="A119" s="25" t="s">
        <v>9</v>
      </c>
      <c r="B119" s="25" t="s">
        <v>197</v>
      </c>
      <c r="C119" s="25" t="s">
        <v>50</v>
      </c>
      <c r="D119" s="25" t="s">
        <v>51</v>
      </c>
      <c r="E119" s="26">
        <v>2</v>
      </c>
      <c r="F119" s="25" t="s">
        <v>78</v>
      </c>
      <c r="G119" s="27">
        <f>$H$115</f>
        <v>77</v>
      </c>
      <c r="H119" s="27">
        <f>$G119+$E119</f>
        <v>79</v>
      </c>
      <c r="I119" s="28">
        <f>WORKDAY(Settings!$D$10,INT($G119/HoursPerDay)+1,Holidays)</f>
        <v>46234</v>
      </c>
      <c r="J119" s="28">
        <f>IF($E119=0,$I119,WORKDAY(Settings!$D$10,ROUNDUP($H119/HoursPerDay,0),Holidays))</f>
        <v>46234</v>
      </c>
    </row>
    <row r="120" spans="1:10" x14ac:dyDescent="0.25">
      <c r="A120" s="25" t="s">
        <v>9</v>
      </c>
      <c r="B120" s="25" t="s">
        <v>198</v>
      </c>
      <c r="C120" s="25" t="s">
        <v>54</v>
      </c>
      <c r="D120" s="25" t="s">
        <v>51</v>
      </c>
      <c r="E120" s="26">
        <v>4</v>
      </c>
      <c r="F120" s="25" t="s">
        <v>78</v>
      </c>
      <c r="G120" s="27">
        <f>$H$119</f>
        <v>79</v>
      </c>
      <c r="H120" s="27">
        <f>$G120+$E120</f>
        <v>83</v>
      </c>
      <c r="I120" s="28">
        <f>WORKDAY(Settings!$D$10,INT($G120/HoursPerDay)+1,Holidays)</f>
        <v>46234</v>
      </c>
      <c r="J120" s="28">
        <f>IF($E120=0,$I120,WORKDAY(Settings!$D$10,ROUNDUP($H120/HoursPerDay,0),Holidays))</f>
        <v>46234</v>
      </c>
    </row>
    <row r="121" spans="1:10" x14ac:dyDescent="0.25">
      <c r="A121" s="25" t="s">
        <v>9</v>
      </c>
      <c r="B121" s="25" t="s">
        <v>199</v>
      </c>
      <c r="C121" s="25" t="s">
        <v>56</v>
      </c>
      <c r="D121" s="25" t="s">
        <v>51</v>
      </c>
      <c r="E121" s="26">
        <v>4</v>
      </c>
      <c r="F121" s="25" t="s">
        <v>57</v>
      </c>
      <c r="G121" s="27">
        <f>$H$116</f>
        <v>88</v>
      </c>
      <c r="H121" s="27">
        <f>$G121+$E121</f>
        <v>92</v>
      </c>
      <c r="I121" s="28">
        <f>WORKDAY(Settings!$D$10,INT($G121/HoursPerDay)+1,Holidays)</f>
        <v>46237</v>
      </c>
      <c r="J121" s="28">
        <f>IF($E121=0,$I121,WORKDAY(Settings!$D$10,ROUNDUP($H121/HoursPerDay,0),Holidays))</f>
        <v>46238</v>
      </c>
    </row>
    <row r="122" spans="1:10" x14ac:dyDescent="0.25">
      <c r="A122" s="22" t="s">
        <v>9</v>
      </c>
      <c r="B122" s="22" t="s">
        <v>200</v>
      </c>
      <c r="C122" s="22" t="s">
        <v>201</v>
      </c>
      <c r="D122" s="22" t="s">
        <v>48</v>
      </c>
      <c r="E122" s="23">
        <f>SUMIF($D123:$D125,"Task",$E123:$E125)</f>
        <v>10</v>
      </c>
      <c r="F122" s="22"/>
      <c r="G122" s="23"/>
      <c r="H122" s="23"/>
      <c r="I122" s="24">
        <f>MIN($I123:$I125)</f>
        <v>46234</v>
      </c>
      <c r="J122" s="24">
        <f>MAX($J123:$J125)</f>
        <v>46238</v>
      </c>
    </row>
    <row r="123" spans="1:10" x14ac:dyDescent="0.25">
      <c r="A123" s="25" t="s">
        <v>9</v>
      </c>
      <c r="B123" s="25" t="s">
        <v>202</v>
      </c>
      <c r="C123" s="25" t="s">
        <v>50</v>
      </c>
      <c r="D123" s="25" t="s">
        <v>51</v>
      </c>
      <c r="E123" s="26">
        <v>2</v>
      </c>
      <c r="F123" s="25" t="s">
        <v>78</v>
      </c>
      <c r="G123" s="27">
        <f>$H$120</f>
        <v>83</v>
      </c>
      <c r="H123" s="27">
        <f>$G123+$E123</f>
        <v>85</v>
      </c>
      <c r="I123" s="28">
        <f>WORKDAY(Settings!$D$10,INT($G123/HoursPerDay)+1,Holidays)</f>
        <v>46234</v>
      </c>
      <c r="J123" s="28">
        <f>IF($E123=0,$I123,WORKDAY(Settings!$D$10,ROUNDUP($H123/HoursPerDay,0),Holidays))</f>
        <v>46237</v>
      </c>
    </row>
    <row r="124" spans="1:10" x14ac:dyDescent="0.25">
      <c r="A124" s="25" t="s">
        <v>9</v>
      </c>
      <c r="B124" s="25" t="s">
        <v>203</v>
      </c>
      <c r="C124" s="25" t="s">
        <v>54</v>
      </c>
      <c r="D124" s="25" t="s">
        <v>51</v>
      </c>
      <c r="E124" s="26">
        <v>4</v>
      </c>
      <c r="F124" s="25" t="s">
        <v>78</v>
      </c>
      <c r="G124" s="27">
        <f>$H$123</f>
        <v>85</v>
      </c>
      <c r="H124" s="27">
        <f>$G124+$E124</f>
        <v>89</v>
      </c>
      <c r="I124" s="28">
        <f>WORKDAY(Settings!$D$10,INT($G124/HoursPerDay)+1,Holidays)</f>
        <v>46237</v>
      </c>
      <c r="J124" s="28">
        <f>IF($E124=0,$I124,WORKDAY(Settings!$D$10,ROUNDUP($H124/HoursPerDay,0),Holidays))</f>
        <v>46237</v>
      </c>
    </row>
    <row r="125" spans="1:10" x14ac:dyDescent="0.25">
      <c r="A125" s="25" t="s">
        <v>9</v>
      </c>
      <c r="B125" s="25" t="s">
        <v>204</v>
      </c>
      <c r="C125" s="25" t="s">
        <v>56</v>
      </c>
      <c r="D125" s="25" t="s">
        <v>51</v>
      </c>
      <c r="E125" s="26">
        <v>4</v>
      </c>
      <c r="F125" s="25" t="s">
        <v>57</v>
      </c>
      <c r="G125" s="27">
        <f>$H$121</f>
        <v>92</v>
      </c>
      <c r="H125" s="27">
        <f>$G125+$E125</f>
        <v>96</v>
      </c>
      <c r="I125" s="28">
        <f>WORKDAY(Settings!$D$10,INT($G125/HoursPerDay)+1,Holidays)</f>
        <v>46238</v>
      </c>
      <c r="J125" s="28">
        <f>IF($E125=0,$I125,WORKDAY(Settings!$D$10,ROUNDUP($H125/HoursPerDay,0),Holidays))</f>
        <v>46238</v>
      </c>
    </row>
    <row r="126" spans="1:10" x14ac:dyDescent="0.25">
      <c r="A126" s="19" t="s">
        <v>9</v>
      </c>
      <c r="B126" s="19" t="s">
        <v>205</v>
      </c>
      <c r="C126" s="19" t="s">
        <v>206</v>
      </c>
      <c r="D126" s="19" t="s">
        <v>45</v>
      </c>
      <c r="E126" s="20">
        <f>SUMIF($D127:$D142,"Task",$E127:$E142)</f>
        <v>25</v>
      </c>
      <c r="F126" s="19"/>
      <c r="G126" s="20"/>
      <c r="H126" s="20"/>
      <c r="I126" s="21">
        <f>MIN($I127:$I142)</f>
        <v>46230</v>
      </c>
      <c r="J126" s="21">
        <f>MAX($J127:$J142)</f>
        <v>46239</v>
      </c>
    </row>
    <row r="127" spans="1:10" x14ac:dyDescent="0.25">
      <c r="A127" s="22" t="s">
        <v>9</v>
      </c>
      <c r="B127" s="22" t="s">
        <v>207</v>
      </c>
      <c r="C127" s="22" t="s">
        <v>208</v>
      </c>
      <c r="D127" s="22" t="s">
        <v>48</v>
      </c>
      <c r="E127" s="23">
        <f>SUMIF($D128:$D130,"Task",$E128:$E130)</f>
        <v>0</v>
      </c>
      <c r="F127" s="22"/>
      <c r="G127" s="23"/>
      <c r="H127" s="23"/>
      <c r="I127" s="24">
        <f>MIN($I128:$I130)</f>
        <v>46230</v>
      </c>
      <c r="J127" s="24">
        <f>MAX($J128:$J130)</f>
        <v>46238</v>
      </c>
    </row>
    <row r="128" spans="1:10" x14ac:dyDescent="0.25">
      <c r="A128" s="25" t="s">
        <v>9</v>
      </c>
      <c r="B128" s="25" t="s">
        <v>209</v>
      </c>
      <c r="C128" s="25" t="s">
        <v>50</v>
      </c>
      <c r="D128" s="25" t="s">
        <v>51</v>
      </c>
      <c r="E128" s="26">
        <v>0</v>
      </c>
      <c r="F128" s="25" t="s">
        <v>52</v>
      </c>
      <c r="G128" s="27">
        <f>$H$98</f>
        <v>52</v>
      </c>
      <c r="H128" s="27">
        <f>$G128+$E128</f>
        <v>52</v>
      </c>
      <c r="I128" s="28">
        <f>WORKDAY(Settings!$D$10,INT($G128/HoursPerDay)+1,Holidays)</f>
        <v>46230</v>
      </c>
      <c r="J128" s="28">
        <f>IF($E128=0,$I128,WORKDAY(Settings!$D$10,ROUNDUP($H128/HoursPerDay,0),Holidays))</f>
        <v>46230</v>
      </c>
    </row>
    <row r="129" spans="1:10" x14ac:dyDescent="0.25">
      <c r="A129" s="25" t="s">
        <v>9</v>
      </c>
      <c r="B129" s="25" t="s">
        <v>210</v>
      </c>
      <c r="C129" s="25" t="s">
        <v>54</v>
      </c>
      <c r="D129" s="25" t="s">
        <v>51</v>
      </c>
      <c r="E129" s="26">
        <v>0</v>
      </c>
      <c r="F129" s="25" t="s">
        <v>52</v>
      </c>
      <c r="G129" s="27">
        <f>$H$128</f>
        <v>52</v>
      </c>
      <c r="H129" s="27">
        <f>$G129+$E129</f>
        <v>52</v>
      </c>
      <c r="I129" s="28">
        <f>WORKDAY(Settings!$D$10,INT($G129/HoursPerDay)+1,Holidays)</f>
        <v>46230</v>
      </c>
      <c r="J129" s="28">
        <f>IF($E129=0,$I129,WORKDAY(Settings!$D$10,ROUNDUP($H129/HoursPerDay,0),Holidays))</f>
        <v>46230</v>
      </c>
    </row>
    <row r="130" spans="1:10" x14ac:dyDescent="0.25">
      <c r="A130" s="25" t="s">
        <v>9</v>
      </c>
      <c r="B130" s="25" t="s">
        <v>211</v>
      </c>
      <c r="C130" s="25" t="s">
        <v>56</v>
      </c>
      <c r="D130" s="25" t="s">
        <v>51</v>
      </c>
      <c r="E130" s="26">
        <v>0</v>
      </c>
      <c r="F130" s="25" t="s">
        <v>57</v>
      </c>
      <c r="G130" s="27">
        <f>$H$125</f>
        <v>96</v>
      </c>
      <c r="H130" s="27">
        <f>$G130+$E130</f>
        <v>96</v>
      </c>
      <c r="I130" s="28">
        <f>WORKDAY(Settings!$D$10,INT($G130/HoursPerDay)+1,Holidays)</f>
        <v>46238</v>
      </c>
      <c r="J130" s="28">
        <f>IF($E130=0,$I130,WORKDAY(Settings!$D$10,ROUNDUP($H130/HoursPerDay,0),Holidays))</f>
        <v>46238</v>
      </c>
    </row>
    <row r="131" spans="1:10" x14ac:dyDescent="0.25">
      <c r="A131" s="22" t="s">
        <v>9</v>
      </c>
      <c r="B131" s="22" t="s">
        <v>212</v>
      </c>
      <c r="C131" s="22" t="s">
        <v>213</v>
      </c>
      <c r="D131" s="22" t="s">
        <v>48</v>
      </c>
      <c r="E131" s="23">
        <f>SUMIF($D132:$D134,"Task",$E132:$E134)</f>
        <v>5</v>
      </c>
      <c r="F131" s="22"/>
      <c r="G131" s="23"/>
      <c r="H131" s="23"/>
      <c r="I131" s="24">
        <f>MIN($I132:$I134)</f>
        <v>46230</v>
      </c>
      <c r="J131" s="24">
        <f>MAX($J132:$J134)</f>
        <v>46238</v>
      </c>
    </row>
    <row r="132" spans="1:10" x14ac:dyDescent="0.25">
      <c r="A132" s="25" t="s">
        <v>9</v>
      </c>
      <c r="B132" s="25" t="s">
        <v>214</v>
      </c>
      <c r="C132" s="25" t="s">
        <v>50</v>
      </c>
      <c r="D132" s="25" t="s">
        <v>51</v>
      </c>
      <c r="E132" s="26">
        <v>1</v>
      </c>
      <c r="F132" s="25" t="s">
        <v>52</v>
      </c>
      <c r="G132" s="27">
        <f>$H$129</f>
        <v>52</v>
      </c>
      <c r="H132" s="27">
        <f>$G132+$E132</f>
        <v>53</v>
      </c>
      <c r="I132" s="28">
        <f>WORKDAY(Settings!$D$10,INT($G132/HoursPerDay)+1,Holidays)</f>
        <v>46230</v>
      </c>
      <c r="J132" s="28">
        <f>IF($E132=0,$I132,WORKDAY(Settings!$D$10,ROUNDUP($H132/HoursPerDay,0),Holidays))</f>
        <v>46230</v>
      </c>
    </row>
    <row r="133" spans="1:10" x14ac:dyDescent="0.25">
      <c r="A133" s="25" t="s">
        <v>9</v>
      </c>
      <c r="B133" s="25" t="s">
        <v>215</v>
      </c>
      <c r="C133" s="25" t="s">
        <v>54</v>
      </c>
      <c r="D133" s="25" t="s">
        <v>51</v>
      </c>
      <c r="E133" s="26">
        <v>2</v>
      </c>
      <c r="F133" s="25" t="s">
        <v>52</v>
      </c>
      <c r="G133" s="27">
        <f>$H$132</f>
        <v>53</v>
      </c>
      <c r="H133" s="27">
        <f>$G133+$E133</f>
        <v>55</v>
      </c>
      <c r="I133" s="28">
        <f>WORKDAY(Settings!$D$10,INT($G133/HoursPerDay)+1,Holidays)</f>
        <v>46230</v>
      </c>
      <c r="J133" s="28">
        <f>IF($E133=0,$I133,WORKDAY(Settings!$D$10,ROUNDUP($H133/HoursPerDay,0),Holidays))</f>
        <v>46230</v>
      </c>
    </row>
    <row r="134" spans="1:10" x14ac:dyDescent="0.25">
      <c r="A134" s="25" t="s">
        <v>9</v>
      </c>
      <c r="B134" s="25" t="s">
        <v>216</v>
      </c>
      <c r="C134" s="25" t="s">
        <v>56</v>
      </c>
      <c r="D134" s="25" t="s">
        <v>51</v>
      </c>
      <c r="E134" s="26">
        <v>2</v>
      </c>
      <c r="F134" s="25" t="s">
        <v>57</v>
      </c>
      <c r="G134" s="27">
        <f>$H$130</f>
        <v>96</v>
      </c>
      <c r="H134" s="27">
        <f>$G134+$E134</f>
        <v>98</v>
      </c>
      <c r="I134" s="28">
        <f>WORKDAY(Settings!$D$10,INT($G134/HoursPerDay)+1,Holidays)</f>
        <v>46238</v>
      </c>
      <c r="J134" s="28">
        <f>IF($E134=0,$I134,WORKDAY(Settings!$D$10,ROUNDUP($H134/HoursPerDay,0),Holidays))</f>
        <v>46238</v>
      </c>
    </row>
    <row r="135" spans="1:10" x14ac:dyDescent="0.25">
      <c r="A135" s="22" t="s">
        <v>9</v>
      </c>
      <c r="B135" s="22" t="s">
        <v>217</v>
      </c>
      <c r="C135" s="22" t="s">
        <v>218</v>
      </c>
      <c r="D135" s="22" t="s">
        <v>48</v>
      </c>
      <c r="E135" s="23">
        <f>SUMIF($D136:$D138,"Task",$E136:$E138)</f>
        <v>15</v>
      </c>
      <c r="F135" s="22"/>
      <c r="G135" s="23"/>
      <c r="H135" s="23"/>
      <c r="I135" s="24">
        <f>MIN($I136:$I138)</f>
        <v>46230</v>
      </c>
      <c r="J135" s="24">
        <f>MAX($J136:$J138)</f>
        <v>46239</v>
      </c>
    </row>
    <row r="136" spans="1:10" x14ac:dyDescent="0.25">
      <c r="A136" s="25" t="s">
        <v>9</v>
      </c>
      <c r="B136" s="25" t="s">
        <v>219</v>
      </c>
      <c r="C136" s="25" t="s">
        <v>50</v>
      </c>
      <c r="D136" s="25" t="s">
        <v>51</v>
      </c>
      <c r="E136" s="26">
        <v>4</v>
      </c>
      <c r="F136" s="25" t="s">
        <v>52</v>
      </c>
      <c r="G136" s="27">
        <f>$H$133</f>
        <v>55</v>
      </c>
      <c r="H136" s="27">
        <f>$G136+$E136</f>
        <v>59</v>
      </c>
      <c r="I136" s="28">
        <f>WORKDAY(Settings!$D$10,INT($G136/HoursPerDay)+1,Holidays)</f>
        <v>46230</v>
      </c>
      <c r="J136" s="28">
        <f>IF($E136=0,$I136,WORKDAY(Settings!$D$10,ROUNDUP($H136/HoursPerDay,0),Holidays))</f>
        <v>46231</v>
      </c>
    </row>
    <row r="137" spans="1:10" x14ac:dyDescent="0.25">
      <c r="A137" s="25" t="s">
        <v>9</v>
      </c>
      <c r="B137" s="25" t="s">
        <v>220</v>
      </c>
      <c r="C137" s="25" t="s">
        <v>54</v>
      </c>
      <c r="D137" s="25" t="s">
        <v>51</v>
      </c>
      <c r="E137" s="26">
        <v>6</v>
      </c>
      <c r="F137" s="25" t="s">
        <v>52</v>
      </c>
      <c r="G137" s="27">
        <f>$H$136</f>
        <v>59</v>
      </c>
      <c r="H137" s="27">
        <f>$G137+$E137</f>
        <v>65</v>
      </c>
      <c r="I137" s="28">
        <f>WORKDAY(Settings!$D$10,INT($G137/HoursPerDay)+1,Holidays)</f>
        <v>46231</v>
      </c>
      <c r="J137" s="28">
        <f>IF($E137=0,$I137,WORKDAY(Settings!$D$10,ROUNDUP($H137/HoursPerDay,0),Holidays))</f>
        <v>46232</v>
      </c>
    </row>
    <row r="138" spans="1:10" x14ac:dyDescent="0.25">
      <c r="A138" s="25" t="s">
        <v>9</v>
      </c>
      <c r="B138" s="25" t="s">
        <v>221</v>
      </c>
      <c r="C138" s="25" t="s">
        <v>56</v>
      </c>
      <c r="D138" s="25" t="s">
        <v>51</v>
      </c>
      <c r="E138" s="26">
        <v>5</v>
      </c>
      <c r="F138" s="25" t="s">
        <v>57</v>
      </c>
      <c r="G138" s="27">
        <f>$H$134</f>
        <v>98</v>
      </c>
      <c r="H138" s="27">
        <f>$G138+$E138</f>
        <v>103</v>
      </c>
      <c r="I138" s="28">
        <f>WORKDAY(Settings!$D$10,INT($G138/HoursPerDay)+1,Holidays)</f>
        <v>46239</v>
      </c>
      <c r="J138" s="28">
        <f>IF($E138=0,$I138,WORKDAY(Settings!$D$10,ROUNDUP($H138/HoursPerDay,0),Holidays))</f>
        <v>46239</v>
      </c>
    </row>
    <row r="139" spans="1:10" x14ac:dyDescent="0.25">
      <c r="A139" s="22" t="s">
        <v>9</v>
      </c>
      <c r="B139" s="22" t="s">
        <v>222</v>
      </c>
      <c r="C139" s="22" t="s">
        <v>223</v>
      </c>
      <c r="D139" s="22" t="s">
        <v>48</v>
      </c>
      <c r="E139" s="23">
        <f>SUMIF($D140:$D142,"Task",$E140:$E142)</f>
        <v>5</v>
      </c>
      <c r="F139" s="22"/>
      <c r="G139" s="23"/>
      <c r="H139" s="23"/>
      <c r="I139" s="24">
        <f>MIN($I140:$I142)</f>
        <v>46232</v>
      </c>
      <c r="J139" s="24">
        <f>MAX($J140:$J142)</f>
        <v>46239</v>
      </c>
    </row>
    <row r="140" spans="1:10" x14ac:dyDescent="0.25">
      <c r="A140" s="25" t="s">
        <v>9</v>
      </c>
      <c r="B140" s="25" t="s">
        <v>224</v>
      </c>
      <c r="C140" s="25" t="s">
        <v>50</v>
      </c>
      <c r="D140" s="25" t="s">
        <v>51</v>
      </c>
      <c r="E140" s="26">
        <v>1</v>
      </c>
      <c r="F140" s="25" t="s">
        <v>52</v>
      </c>
      <c r="G140" s="27">
        <f>$H$137</f>
        <v>65</v>
      </c>
      <c r="H140" s="27">
        <f>$G140+$E140</f>
        <v>66</v>
      </c>
      <c r="I140" s="28">
        <f>WORKDAY(Settings!$D$10,INT($G140/HoursPerDay)+1,Holidays)</f>
        <v>46232</v>
      </c>
      <c r="J140" s="28">
        <f>IF($E140=0,$I140,WORKDAY(Settings!$D$10,ROUNDUP($H140/HoursPerDay,0),Holidays))</f>
        <v>46232</v>
      </c>
    </row>
    <row r="141" spans="1:10" x14ac:dyDescent="0.25">
      <c r="A141" s="25" t="s">
        <v>9</v>
      </c>
      <c r="B141" s="25" t="s">
        <v>225</v>
      </c>
      <c r="C141" s="25" t="s">
        <v>54</v>
      </c>
      <c r="D141" s="25" t="s">
        <v>51</v>
      </c>
      <c r="E141" s="26">
        <v>2</v>
      </c>
      <c r="F141" s="25" t="s">
        <v>52</v>
      </c>
      <c r="G141" s="27">
        <f>$H$140</f>
        <v>66</v>
      </c>
      <c r="H141" s="27">
        <f>$G141+$E141</f>
        <v>68</v>
      </c>
      <c r="I141" s="28">
        <f>WORKDAY(Settings!$D$10,INT($G141/HoursPerDay)+1,Holidays)</f>
        <v>46232</v>
      </c>
      <c r="J141" s="28">
        <f>IF($E141=0,$I141,WORKDAY(Settings!$D$10,ROUNDUP($H141/HoursPerDay,0),Holidays))</f>
        <v>46232</v>
      </c>
    </row>
    <row r="142" spans="1:10" x14ac:dyDescent="0.25">
      <c r="A142" s="25" t="s">
        <v>9</v>
      </c>
      <c r="B142" s="25" t="s">
        <v>226</v>
      </c>
      <c r="C142" s="25" t="s">
        <v>56</v>
      </c>
      <c r="D142" s="25" t="s">
        <v>51</v>
      </c>
      <c r="E142" s="26">
        <v>2</v>
      </c>
      <c r="F142" s="25" t="s">
        <v>57</v>
      </c>
      <c r="G142" s="27">
        <f>$H$138</f>
        <v>103</v>
      </c>
      <c r="H142" s="27">
        <f>$G142+$E142</f>
        <v>105</v>
      </c>
      <c r="I142" s="28">
        <f>WORKDAY(Settings!$D$10,INT($G142/HoursPerDay)+1,Holidays)</f>
        <v>46239</v>
      </c>
      <c r="J142" s="28">
        <f>IF($E142=0,$I142,WORKDAY(Settings!$D$10,ROUNDUP($H142/HoursPerDay,0),Holidays))</f>
        <v>46239</v>
      </c>
    </row>
    <row r="143" spans="1:10" x14ac:dyDescent="0.25">
      <c r="A143" s="19" t="s">
        <v>9</v>
      </c>
      <c r="B143" s="19" t="s">
        <v>227</v>
      </c>
      <c r="C143" s="19" t="s">
        <v>228</v>
      </c>
      <c r="D143" s="19" t="s">
        <v>45</v>
      </c>
      <c r="E143" s="20">
        <f>SUMIF($D144:$D159,"Task",$E144:$E159)</f>
        <v>40</v>
      </c>
      <c r="F143" s="19"/>
      <c r="G143" s="20"/>
      <c r="H143" s="20"/>
      <c r="I143" s="21">
        <f>MIN($I144:$I159)</f>
        <v>46237</v>
      </c>
      <c r="J143" s="21">
        <f>MAX($J144:$J159)</f>
        <v>46244</v>
      </c>
    </row>
    <row r="144" spans="1:10" x14ac:dyDescent="0.25">
      <c r="A144" s="22" t="s">
        <v>9</v>
      </c>
      <c r="B144" s="22" t="s">
        <v>229</v>
      </c>
      <c r="C144" s="22" t="s">
        <v>230</v>
      </c>
      <c r="D144" s="22" t="s">
        <v>48</v>
      </c>
      <c r="E144" s="23">
        <f>SUMIF($D145:$D147,"Task",$E145:$E147)</f>
        <v>15</v>
      </c>
      <c r="F144" s="22"/>
      <c r="G144" s="23"/>
      <c r="H144" s="23"/>
      <c r="I144" s="24">
        <f>MIN($I145:$I147)</f>
        <v>46237</v>
      </c>
      <c r="J144" s="24">
        <f>MAX($J145:$J147)</f>
        <v>46240</v>
      </c>
    </row>
    <row r="145" spans="1:10" x14ac:dyDescent="0.25">
      <c r="A145" s="25" t="s">
        <v>9</v>
      </c>
      <c r="B145" s="25" t="s">
        <v>231</v>
      </c>
      <c r="C145" s="25" t="s">
        <v>50</v>
      </c>
      <c r="D145" s="25" t="s">
        <v>51</v>
      </c>
      <c r="E145" s="26">
        <v>4</v>
      </c>
      <c r="F145" s="25" t="s">
        <v>78</v>
      </c>
      <c r="G145" s="27">
        <f>$H$124</f>
        <v>89</v>
      </c>
      <c r="H145" s="27">
        <f>$G145+$E145</f>
        <v>93</v>
      </c>
      <c r="I145" s="28">
        <f>WORKDAY(Settings!$D$10,INT($G145/HoursPerDay)+1,Holidays)</f>
        <v>46237</v>
      </c>
      <c r="J145" s="28">
        <f>IF($E145=0,$I145,WORKDAY(Settings!$D$10,ROUNDUP($H145/HoursPerDay,0),Holidays))</f>
        <v>46238</v>
      </c>
    </row>
    <row r="146" spans="1:10" x14ac:dyDescent="0.25">
      <c r="A146" s="25" t="s">
        <v>9</v>
      </c>
      <c r="B146" s="25" t="s">
        <v>232</v>
      </c>
      <c r="C146" s="25" t="s">
        <v>54</v>
      </c>
      <c r="D146" s="25" t="s">
        <v>51</v>
      </c>
      <c r="E146" s="26">
        <v>6</v>
      </c>
      <c r="F146" s="25" t="s">
        <v>78</v>
      </c>
      <c r="G146" s="27">
        <f>$H$145</f>
        <v>93</v>
      </c>
      <c r="H146" s="27">
        <f>$G146+$E146</f>
        <v>99</v>
      </c>
      <c r="I146" s="28">
        <f>WORKDAY(Settings!$D$10,INT($G146/HoursPerDay)+1,Holidays)</f>
        <v>46238</v>
      </c>
      <c r="J146" s="28">
        <f>IF($E146=0,$I146,WORKDAY(Settings!$D$10,ROUNDUP($H146/HoursPerDay,0),Holidays))</f>
        <v>46239</v>
      </c>
    </row>
    <row r="147" spans="1:10" x14ac:dyDescent="0.25">
      <c r="A147" s="25" t="s">
        <v>9</v>
      </c>
      <c r="B147" s="25" t="s">
        <v>233</v>
      </c>
      <c r="C147" s="25" t="s">
        <v>56</v>
      </c>
      <c r="D147" s="25" t="s">
        <v>51</v>
      </c>
      <c r="E147" s="26">
        <v>5</v>
      </c>
      <c r="F147" s="25" t="s">
        <v>57</v>
      </c>
      <c r="G147" s="27">
        <f>$H$142</f>
        <v>105</v>
      </c>
      <c r="H147" s="27">
        <f>$G147+$E147</f>
        <v>110</v>
      </c>
      <c r="I147" s="28">
        <f>WORKDAY(Settings!$D$10,INT($G147/HoursPerDay)+1,Holidays)</f>
        <v>46240</v>
      </c>
      <c r="J147" s="28">
        <f>IF($E147=0,$I147,WORKDAY(Settings!$D$10,ROUNDUP($H147/HoursPerDay,0),Holidays))</f>
        <v>46240</v>
      </c>
    </row>
    <row r="148" spans="1:10" x14ac:dyDescent="0.25">
      <c r="A148" s="22" t="s">
        <v>9</v>
      </c>
      <c r="B148" s="22" t="s">
        <v>234</v>
      </c>
      <c r="C148" s="22" t="s">
        <v>235</v>
      </c>
      <c r="D148" s="22" t="s">
        <v>48</v>
      </c>
      <c r="E148" s="23">
        <f>SUMIF($D149:$D151,"Task",$E149:$E151)</f>
        <v>10</v>
      </c>
      <c r="F148" s="22"/>
      <c r="G148" s="23"/>
      <c r="H148" s="23"/>
      <c r="I148" s="24">
        <f>MIN($I149:$I151)</f>
        <v>46239</v>
      </c>
      <c r="J148" s="24">
        <f>MAX($J149:$J151)</f>
        <v>46241</v>
      </c>
    </row>
    <row r="149" spans="1:10" x14ac:dyDescent="0.25">
      <c r="A149" s="25" t="s">
        <v>9</v>
      </c>
      <c r="B149" s="25" t="s">
        <v>236</v>
      </c>
      <c r="C149" s="25" t="s">
        <v>50</v>
      </c>
      <c r="D149" s="25" t="s">
        <v>51</v>
      </c>
      <c r="E149" s="26">
        <v>2</v>
      </c>
      <c r="F149" s="25" t="s">
        <v>78</v>
      </c>
      <c r="G149" s="27">
        <f>$H$146</f>
        <v>99</v>
      </c>
      <c r="H149" s="27">
        <f>$G149+$E149</f>
        <v>101</v>
      </c>
      <c r="I149" s="28">
        <f>WORKDAY(Settings!$D$10,INT($G149/HoursPerDay)+1,Holidays)</f>
        <v>46239</v>
      </c>
      <c r="J149" s="28">
        <f>IF($E149=0,$I149,WORKDAY(Settings!$D$10,ROUNDUP($H149/HoursPerDay,0),Holidays))</f>
        <v>46239</v>
      </c>
    </row>
    <row r="150" spans="1:10" x14ac:dyDescent="0.25">
      <c r="A150" s="25" t="s">
        <v>9</v>
      </c>
      <c r="B150" s="25" t="s">
        <v>237</v>
      </c>
      <c r="C150" s="25" t="s">
        <v>54</v>
      </c>
      <c r="D150" s="25" t="s">
        <v>51</v>
      </c>
      <c r="E150" s="26">
        <v>4</v>
      </c>
      <c r="F150" s="25" t="s">
        <v>78</v>
      </c>
      <c r="G150" s="27">
        <f>$H$149</f>
        <v>101</v>
      </c>
      <c r="H150" s="27">
        <f>$G150+$E150</f>
        <v>105</v>
      </c>
      <c r="I150" s="28">
        <f>WORKDAY(Settings!$D$10,INT($G150/HoursPerDay)+1,Holidays)</f>
        <v>46239</v>
      </c>
      <c r="J150" s="28">
        <f>IF($E150=0,$I150,WORKDAY(Settings!$D$10,ROUNDUP($H150/HoursPerDay,0),Holidays))</f>
        <v>46239</v>
      </c>
    </row>
    <row r="151" spans="1:10" x14ac:dyDescent="0.25">
      <c r="A151" s="25" t="s">
        <v>9</v>
      </c>
      <c r="B151" s="25" t="s">
        <v>238</v>
      </c>
      <c r="C151" s="25" t="s">
        <v>56</v>
      </c>
      <c r="D151" s="25" t="s">
        <v>51</v>
      </c>
      <c r="E151" s="26">
        <v>4</v>
      </c>
      <c r="F151" s="25" t="s">
        <v>57</v>
      </c>
      <c r="G151" s="27">
        <f>$H$147</f>
        <v>110</v>
      </c>
      <c r="H151" s="27">
        <f>$G151+$E151</f>
        <v>114</v>
      </c>
      <c r="I151" s="28">
        <f>WORKDAY(Settings!$D$10,INT($G151/HoursPerDay)+1,Holidays)</f>
        <v>46240</v>
      </c>
      <c r="J151" s="28">
        <f>IF($E151=0,$I151,WORKDAY(Settings!$D$10,ROUNDUP($H151/HoursPerDay,0),Holidays))</f>
        <v>46241</v>
      </c>
    </row>
    <row r="152" spans="1:10" x14ac:dyDescent="0.25">
      <c r="A152" s="22" t="s">
        <v>9</v>
      </c>
      <c r="B152" s="22" t="s">
        <v>239</v>
      </c>
      <c r="C152" s="22" t="s">
        <v>240</v>
      </c>
      <c r="D152" s="22" t="s">
        <v>48</v>
      </c>
      <c r="E152" s="23">
        <f>SUMIF($D153:$D155,"Task",$E153:$E155)</f>
        <v>10</v>
      </c>
      <c r="F152" s="22"/>
      <c r="G152" s="23"/>
      <c r="H152" s="23"/>
      <c r="I152" s="24">
        <f>MIN($I153:$I155)</f>
        <v>46240</v>
      </c>
      <c r="J152" s="24">
        <f>MAX($J153:$J155)</f>
        <v>46241</v>
      </c>
    </row>
    <row r="153" spans="1:10" x14ac:dyDescent="0.25">
      <c r="A153" s="25" t="s">
        <v>9</v>
      </c>
      <c r="B153" s="25" t="s">
        <v>241</v>
      </c>
      <c r="C153" s="25" t="s">
        <v>50</v>
      </c>
      <c r="D153" s="25" t="s">
        <v>51</v>
      </c>
      <c r="E153" s="26">
        <v>2</v>
      </c>
      <c r="F153" s="25" t="s">
        <v>78</v>
      </c>
      <c r="G153" s="27">
        <f>$H$150</f>
        <v>105</v>
      </c>
      <c r="H153" s="27">
        <f>$G153+$E153</f>
        <v>107</v>
      </c>
      <c r="I153" s="28">
        <f>WORKDAY(Settings!$D$10,INT($G153/HoursPerDay)+1,Holidays)</f>
        <v>46240</v>
      </c>
      <c r="J153" s="28">
        <f>IF($E153=0,$I153,WORKDAY(Settings!$D$10,ROUNDUP($H153/HoursPerDay,0),Holidays))</f>
        <v>46240</v>
      </c>
    </row>
    <row r="154" spans="1:10" x14ac:dyDescent="0.25">
      <c r="A154" s="25" t="s">
        <v>9</v>
      </c>
      <c r="B154" s="25" t="s">
        <v>242</v>
      </c>
      <c r="C154" s="25" t="s">
        <v>54</v>
      </c>
      <c r="D154" s="25" t="s">
        <v>51</v>
      </c>
      <c r="E154" s="26">
        <v>4</v>
      </c>
      <c r="F154" s="25" t="s">
        <v>78</v>
      </c>
      <c r="G154" s="27">
        <f>$H$153</f>
        <v>107</v>
      </c>
      <c r="H154" s="27">
        <f>$G154+$E154</f>
        <v>111</v>
      </c>
      <c r="I154" s="28">
        <f>WORKDAY(Settings!$D$10,INT($G154/HoursPerDay)+1,Holidays)</f>
        <v>46240</v>
      </c>
      <c r="J154" s="28">
        <f>IF($E154=0,$I154,WORKDAY(Settings!$D$10,ROUNDUP($H154/HoursPerDay,0),Holidays))</f>
        <v>46240</v>
      </c>
    </row>
    <row r="155" spans="1:10" x14ac:dyDescent="0.25">
      <c r="A155" s="25" t="s">
        <v>9</v>
      </c>
      <c r="B155" s="25" t="s">
        <v>243</v>
      </c>
      <c r="C155" s="25" t="s">
        <v>56</v>
      </c>
      <c r="D155" s="25" t="s">
        <v>51</v>
      </c>
      <c r="E155" s="26">
        <v>4</v>
      </c>
      <c r="F155" s="25" t="s">
        <v>57</v>
      </c>
      <c r="G155" s="27">
        <f>$H$151</f>
        <v>114</v>
      </c>
      <c r="H155" s="27">
        <f>$G155+$E155</f>
        <v>118</v>
      </c>
      <c r="I155" s="28">
        <f>WORKDAY(Settings!$D$10,INT($G155/HoursPerDay)+1,Holidays)</f>
        <v>46241</v>
      </c>
      <c r="J155" s="28">
        <f>IF($E155=0,$I155,WORKDAY(Settings!$D$10,ROUNDUP($H155/HoursPerDay,0),Holidays))</f>
        <v>46241</v>
      </c>
    </row>
    <row r="156" spans="1:10" x14ac:dyDescent="0.25">
      <c r="A156" s="22" t="s">
        <v>9</v>
      </c>
      <c r="B156" s="22" t="s">
        <v>244</v>
      </c>
      <c r="C156" s="22" t="s">
        <v>245</v>
      </c>
      <c r="D156" s="22" t="s">
        <v>48</v>
      </c>
      <c r="E156" s="23">
        <f>SUMIF($D157:$D159,"Task",$E157:$E159)</f>
        <v>5</v>
      </c>
      <c r="F156" s="22"/>
      <c r="G156" s="23"/>
      <c r="H156" s="23"/>
      <c r="I156" s="24">
        <f>MIN($I157:$I159)</f>
        <v>46240</v>
      </c>
      <c r="J156" s="24">
        <f>MAX($J157:$J159)</f>
        <v>46244</v>
      </c>
    </row>
    <row r="157" spans="1:10" x14ac:dyDescent="0.25">
      <c r="A157" s="25" t="s">
        <v>9</v>
      </c>
      <c r="B157" s="25" t="s">
        <v>246</v>
      </c>
      <c r="C157" s="25" t="s">
        <v>50</v>
      </c>
      <c r="D157" s="25" t="s">
        <v>51</v>
      </c>
      <c r="E157" s="26">
        <v>1</v>
      </c>
      <c r="F157" s="25" t="s">
        <v>78</v>
      </c>
      <c r="G157" s="27">
        <f>$H$154</f>
        <v>111</v>
      </c>
      <c r="H157" s="27">
        <f>$G157+$E157</f>
        <v>112</v>
      </c>
      <c r="I157" s="28">
        <f>WORKDAY(Settings!$D$10,INT($G157/HoursPerDay)+1,Holidays)</f>
        <v>46240</v>
      </c>
      <c r="J157" s="28">
        <f>IF($E157=0,$I157,WORKDAY(Settings!$D$10,ROUNDUP($H157/HoursPerDay,0),Holidays))</f>
        <v>46240</v>
      </c>
    </row>
    <row r="158" spans="1:10" x14ac:dyDescent="0.25">
      <c r="A158" s="25" t="s">
        <v>9</v>
      </c>
      <c r="B158" s="25" t="s">
        <v>247</v>
      </c>
      <c r="C158" s="25" t="s">
        <v>54</v>
      </c>
      <c r="D158" s="25" t="s">
        <v>51</v>
      </c>
      <c r="E158" s="26">
        <v>2</v>
      </c>
      <c r="F158" s="25" t="s">
        <v>78</v>
      </c>
      <c r="G158" s="27">
        <f>$H$157</f>
        <v>112</v>
      </c>
      <c r="H158" s="27">
        <f>$G158+$E158</f>
        <v>114</v>
      </c>
      <c r="I158" s="28">
        <f>WORKDAY(Settings!$D$10,INT($G158/HoursPerDay)+1,Holidays)</f>
        <v>46241</v>
      </c>
      <c r="J158" s="28">
        <f>IF($E158=0,$I158,WORKDAY(Settings!$D$10,ROUNDUP($H158/HoursPerDay,0),Holidays))</f>
        <v>46241</v>
      </c>
    </row>
    <row r="159" spans="1:10" x14ac:dyDescent="0.25">
      <c r="A159" s="25" t="s">
        <v>9</v>
      </c>
      <c r="B159" s="25" t="s">
        <v>248</v>
      </c>
      <c r="C159" s="25" t="s">
        <v>56</v>
      </c>
      <c r="D159" s="25" t="s">
        <v>51</v>
      </c>
      <c r="E159" s="26">
        <v>2</v>
      </c>
      <c r="F159" s="25" t="s">
        <v>57</v>
      </c>
      <c r="G159" s="27">
        <f>$H$155</f>
        <v>118</v>
      </c>
      <c r="H159" s="27">
        <f>$G159+$E159</f>
        <v>120</v>
      </c>
      <c r="I159" s="28">
        <f>WORKDAY(Settings!$D$10,INT($G159/HoursPerDay)+1,Holidays)</f>
        <v>46241</v>
      </c>
      <c r="J159" s="28">
        <f>IF($E159=0,$I159,WORKDAY(Settings!$D$10,ROUNDUP($H159/HoursPerDay,0),Holidays))</f>
        <v>46244</v>
      </c>
    </row>
    <row r="160" spans="1:10" x14ac:dyDescent="0.25">
      <c r="A160" s="19" t="s">
        <v>9</v>
      </c>
      <c r="B160" s="19" t="s">
        <v>249</v>
      </c>
      <c r="C160" s="19" t="s">
        <v>250</v>
      </c>
      <c r="D160" s="19" t="s">
        <v>45</v>
      </c>
      <c r="E160" s="20">
        <f>SUMIF($D161:$D172,"Task",$E161:$E172)</f>
        <v>32</v>
      </c>
      <c r="F160" s="19"/>
      <c r="G160" s="20"/>
      <c r="H160" s="20"/>
      <c r="I160" s="21">
        <f>MIN($I161:$I172)</f>
        <v>46232</v>
      </c>
      <c r="J160" s="21">
        <f>MAX($J161:$J172)</f>
        <v>46245</v>
      </c>
    </row>
    <row r="161" spans="1:10" x14ac:dyDescent="0.25">
      <c r="A161" s="22" t="s">
        <v>9</v>
      </c>
      <c r="B161" s="22" t="s">
        <v>251</v>
      </c>
      <c r="C161" s="22" t="s">
        <v>252</v>
      </c>
      <c r="D161" s="22" t="s">
        <v>48</v>
      </c>
      <c r="E161" s="23">
        <f>SUMIF($D162:$D164,"Task",$E162:$E164)</f>
        <v>17</v>
      </c>
      <c r="F161" s="22"/>
      <c r="G161" s="23"/>
      <c r="H161" s="23"/>
      <c r="I161" s="24">
        <f>MIN($I162:$I164)</f>
        <v>46232</v>
      </c>
      <c r="J161" s="24">
        <f>MAX($J162:$J164)</f>
        <v>46244</v>
      </c>
    </row>
    <row r="162" spans="1:10" x14ac:dyDescent="0.25">
      <c r="A162" s="25" t="s">
        <v>9</v>
      </c>
      <c r="B162" s="25" t="s">
        <v>253</v>
      </c>
      <c r="C162" s="25" t="s">
        <v>50</v>
      </c>
      <c r="D162" s="25" t="s">
        <v>51</v>
      </c>
      <c r="E162" s="26">
        <v>6</v>
      </c>
      <c r="F162" s="25" t="s">
        <v>52</v>
      </c>
      <c r="G162" s="27">
        <f>$H$141</f>
        <v>68</v>
      </c>
      <c r="H162" s="27">
        <f>$G162+$E162</f>
        <v>74</v>
      </c>
      <c r="I162" s="28">
        <f>WORKDAY(Settings!$D$10,INT($G162/HoursPerDay)+1,Holidays)</f>
        <v>46232</v>
      </c>
      <c r="J162" s="28">
        <f>IF($E162=0,$I162,WORKDAY(Settings!$D$10,ROUNDUP($H162/HoursPerDay,0),Holidays))</f>
        <v>46233</v>
      </c>
    </row>
    <row r="163" spans="1:10" x14ac:dyDescent="0.25">
      <c r="A163" s="25" t="s">
        <v>9</v>
      </c>
      <c r="B163" s="25" t="s">
        <v>254</v>
      </c>
      <c r="C163" s="25" t="s">
        <v>54</v>
      </c>
      <c r="D163" s="25" t="s">
        <v>51</v>
      </c>
      <c r="E163" s="26">
        <v>6</v>
      </c>
      <c r="F163" s="25" t="s">
        <v>52</v>
      </c>
      <c r="G163" s="27">
        <f>$H$162</f>
        <v>74</v>
      </c>
      <c r="H163" s="27">
        <f>$G163+$E163</f>
        <v>80</v>
      </c>
      <c r="I163" s="28">
        <f>WORKDAY(Settings!$D$10,INT($G163/HoursPerDay)+1,Holidays)</f>
        <v>46233</v>
      </c>
      <c r="J163" s="28">
        <f>IF($E163=0,$I163,WORKDAY(Settings!$D$10,ROUNDUP($H163/HoursPerDay,0),Holidays))</f>
        <v>46234</v>
      </c>
    </row>
    <row r="164" spans="1:10" x14ac:dyDescent="0.25">
      <c r="A164" s="25" t="s">
        <v>9</v>
      </c>
      <c r="B164" s="25" t="s">
        <v>255</v>
      </c>
      <c r="C164" s="25" t="s">
        <v>56</v>
      </c>
      <c r="D164" s="25" t="s">
        <v>51</v>
      </c>
      <c r="E164" s="26">
        <v>5</v>
      </c>
      <c r="F164" s="25" t="s">
        <v>57</v>
      </c>
      <c r="G164" s="27">
        <f>$H$159</f>
        <v>120</v>
      </c>
      <c r="H164" s="27">
        <f>$G164+$E164</f>
        <v>125</v>
      </c>
      <c r="I164" s="28">
        <f>WORKDAY(Settings!$D$10,INT($G164/HoursPerDay)+1,Holidays)</f>
        <v>46244</v>
      </c>
      <c r="J164" s="28">
        <f>IF($E164=0,$I164,WORKDAY(Settings!$D$10,ROUNDUP($H164/HoursPerDay,0),Holidays))</f>
        <v>46244</v>
      </c>
    </row>
    <row r="165" spans="1:10" x14ac:dyDescent="0.25">
      <c r="A165" s="22" t="s">
        <v>9</v>
      </c>
      <c r="B165" s="22" t="s">
        <v>256</v>
      </c>
      <c r="C165" s="22" t="s">
        <v>257</v>
      </c>
      <c r="D165" s="22" t="s">
        <v>48</v>
      </c>
      <c r="E165" s="23">
        <f>SUMIF($D166:$D168,"Task",$E166:$E168)</f>
        <v>10</v>
      </c>
      <c r="F165" s="22"/>
      <c r="G165" s="23"/>
      <c r="H165" s="23"/>
      <c r="I165" s="24">
        <f>MIN($I166:$I168)</f>
        <v>46234</v>
      </c>
      <c r="J165" s="24">
        <f>MAX($J166:$J168)</f>
        <v>46245</v>
      </c>
    </row>
    <row r="166" spans="1:10" x14ac:dyDescent="0.25">
      <c r="A166" s="25" t="s">
        <v>9</v>
      </c>
      <c r="B166" s="25" t="s">
        <v>258</v>
      </c>
      <c r="C166" s="25" t="s">
        <v>50</v>
      </c>
      <c r="D166" s="25" t="s">
        <v>51</v>
      </c>
      <c r="E166" s="26">
        <v>2</v>
      </c>
      <c r="F166" s="25" t="s">
        <v>52</v>
      </c>
      <c r="G166" s="27">
        <f>$H$163</f>
        <v>80</v>
      </c>
      <c r="H166" s="27">
        <f>$G166+$E166</f>
        <v>82</v>
      </c>
      <c r="I166" s="28">
        <f>WORKDAY(Settings!$D$10,INT($G166/HoursPerDay)+1,Holidays)</f>
        <v>46234</v>
      </c>
      <c r="J166" s="28">
        <f>IF($E166=0,$I166,WORKDAY(Settings!$D$10,ROUNDUP($H166/HoursPerDay,0),Holidays))</f>
        <v>46234</v>
      </c>
    </row>
    <row r="167" spans="1:10" x14ac:dyDescent="0.25">
      <c r="A167" s="25" t="s">
        <v>9</v>
      </c>
      <c r="B167" s="25" t="s">
        <v>259</v>
      </c>
      <c r="C167" s="25" t="s">
        <v>54</v>
      </c>
      <c r="D167" s="25" t="s">
        <v>51</v>
      </c>
      <c r="E167" s="26">
        <v>4</v>
      </c>
      <c r="F167" s="25" t="s">
        <v>52</v>
      </c>
      <c r="G167" s="27">
        <f>$H$166</f>
        <v>82</v>
      </c>
      <c r="H167" s="27">
        <f>$G167+$E167</f>
        <v>86</v>
      </c>
      <c r="I167" s="28">
        <f>WORKDAY(Settings!$D$10,INT($G167/HoursPerDay)+1,Holidays)</f>
        <v>46234</v>
      </c>
      <c r="J167" s="28">
        <f>IF($E167=0,$I167,WORKDAY(Settings!$D$10,ROUNDUP($H167/HoursPerDay,0),Holidays))</f>
        <v>46237</v>
      </c>
    </row>
    <row r="168" spans="1:10" x14ac:dyDescent="0.25">
      <c r="A168" s="25" t="s">
        <v>9</v>
      </c>
      <c r="B168" s="25" t="s">
        <v>260</v>
      </c>
      <c r="C168" s="25" t="s">
        <v>56</v>
      </c>
      <c r="D168" s="25" t="s">
        <v>51</v>
      </c>
      <c r="E168" s="26">
        <v>4</v>
      </c>
      <c r="F168" s="25" t="s">
        <v>57</v>
      </c>
      <c r="G168" s="27">
        <f>$H$164</f>
        <v>125</v>
      </c>
      <c r="H168" s="27">
        <f>$G168+$E168</f>
        <v>129</v>
      </c>
      <c r="I168" s="28">
        <f>WORKDAY(Settings!$D$10,INT($G168/HoursPerDay)+1,Holidays)</f>
        <v>46244</v>
      </c>
      <c r="J168" s="28">
        <f>IF($E168=0,$I168,WORKDAY(Settings!$D$10,ROUNDUP($H168/HoursPerDay,0),Holidays))</f>
        <v>46245</v>
      </c>
    </row>
    <row r="169" spans="1:10" x14ac:dyDescent="0.25">
      <c r="A169" s="22" t="s">
        <v>9</v>
      </c>
      <c r="B169" s="22" t="s">
        <v>261</v>
      </c>
      <c r="C169" s="22" t="s">
        <v>262</v>
      </c>
      <c r="D169" s="22" t="s">
        <v>48</v>
      </c>
      <c r="E169" s="23">
        <f>SUMIF($D170:$D172,"Task",$E170:$E172)</f>
        <v>5</v>
      </c>
      <c r="F169" s="22"/>
      <c r="G169" s="23"/>
      <c r="H169" s="23"/>
      <c r="I169" s="24">
        <f>MIN($I170:$I172)</f>
        <v>46237</v>
      </c>
      <c r="J169" s="24">
        <f>MAX($J170:$J172)</f>
        <v>46245</v>
      </c>
    </row>
    <row r="170" spans="1:10" x14ac:dyDescent="0.25">
      <c r="A170" s="25" t="s">
        <v>9</v>
      </c>
      <c r="B170" s="25" t="s">
        <v>263</v>
      </c>
      <c r="C170" s="25" t="s">
        <v>50</v>
      </c>
      <c r="D170" s="25" t="s">
        <v>51</v>
      </c>
      <c r="E170" s="26">
        <v>1</v>
      </c>
      <c r="F170" s="25" t="s">
        <v>52</v>
      </c>
      <c r="G170" s="27">
        <f>$H$167</f>
        <v>86</v>
      </c>
      <c r="H170" s="27">
        <f>$G170+$E170</f>
        <v>87</v>
      </c>
      <c r="I170" s="28">
        <f>WORKDAY(Settings!$D$10,INT($G170/HoursPerDay)+1,Holidays)</f>
        <v>46237</v>
      </c>
      <c r="J170" s="28">
        <f>IF($E170=0,$I170,WORKDAY(Settings!$D$10,ROUNDUP($H170/HoursPerDay,0),Holidays))</f>
        <v>46237</v>
      </c>
    </row>
    <row r="171" spans="1:10" x14ac:dyDescent="0.25">
      <c r="A171" s="25" t="s">
        <v>9</v>
      </c>
      <c r="B171" s="25" t="s">
        <v>264</v>
      </c>
      <c r="C171" s="25" t="s">
        <v>54</v>
      </c>
      <c r="D171" s="25" t="s">
        <v>51</v>
      </c>
      <c r="E171" s="26">
        <v>2</v>
      </c>
      <c r="F171" s="25" t="s">
        <v>52</v>
      </c>
      <c r="G171" s="27">
        <f>$H$170</f>
        <v>87</v>
      </c>
      <c r="H171" s="27">
        <f>$G171+$E171</f>
        <v>89</v>
      </c>
      <c r="I171" s="28">
        <f>WORKDAY(Settings!$D$10,INT($G171/HoursPerDay)+1,Holidays)</f>
        <v>46237</v>
      </c>
      <c r="J171" s="28">
        <f>IF($E171=0,$I171,WORKDAY(Settings!$D$10,ROUNDUP($H171/HoursPerDay,0),Holidays))</f>
        <v>46237</v>
      </c>
    </row>
    <row r="172" spans="1:10" x14ac:dyDescent="0.25">
      <c r="A172" s="25" t="s">
        <v>9</v>
      </c>
      <c r="B172" s="25" t="s">
        <v>265</v>
      </c>
      <c r="C172" s="25" t="s">
        <v>56</v>
      </c>
      <c r="D172" s="25" t="s">
        <v>51</v>
      </c>
      <c r="E172" s="26">
        <v>2</v>
      </c>
      <c r="F172" s="25" t="s">
        <v>57</v>
      </c>
      <c r="G172" s="27">
        <f>$H$168</f>
        <v>129</v>
      </c>
      <c r="H172" s="27">
        <f>$G172+$E172</f>
        <v>131</v>
      </c>
      <c r="I172" s="28">
        <f>WORKDAY(Settings!$D$10,INT($G172/HoursPerDay)+1,Holidays)</f>
        <v>46245</v>
      </c>
      <c r="J172" s="28">
        <f>IF($E172=0,$I172,WORKDAY(Settings!$D$10,ROUNDUP($H172/HoursPerDay,0),Holidays))</f>
        <v>46245</v>
      </c>
    </row>
    <row r="173" spans="1:10" x14ac:dyDescent="0.25">
      <c r="A173" s="19" t="s">
        <v>9</v>
      </c>
      <c r="B173" s="19" t="s">
        <v>266</v>
      </c>
      <c r="C173" s="19" t="s">
        <v>267</v>
      </c>
      <c r="D173" s="19" t="s">
        <v>45</v>
      </c>
      <c r="E173" s="20">
        <f>SUMIF($D174:$D201,"Task",$E174:$E201)</f>
        <v>94</v>
      </c>
      <c r="F173" s="19"/>
      <c r="G173" s="20"/>
      <c r="H173" s="20"/>
      <c r="I173" s="21">
        <f>MIN($I174:$I201)</f>
        <v>46233</v>
      </c>
      <c r="J173" s="21">
        <f>MAX($J174:$J201)</f>
        <v>46248</v>
      </c>
    </row>
    <row r="174" spans="1:10" x14ac:dyDescent="0.25">
      <c r="A174" s="22" t="s">
        <v>9</v>
      </c>
      <c r="B174" s="22" t="s">
        <v>268</v>
      </c>
      <c r="C174" s="22" t="s">
        <v>269</v>
      </c>
      <c r="D174" s="22" t="s">
        <v>48</v>
      </c>
      <c r="E174" s="23">
        <f>SUMIF($D175:$D177,"Task",$E175:$E177)</f>
        <v>19</v>
      </c>
      <c r="F174" s="22"/>
      <c r="G174" s="23"/>
      <c r="H174" s="23"/>
      <c r="I174" s="24">
        <f>MIN($I175:$I177)</f>
        <v>46233</v>
      </c>
      <c r="J174" s="24">
        <f>MAX($J175:$J177)</f>
        <v>46244</v>
      </c>
    </row>
    <row r="175" spans="1:10" x14ac:dyDescent="0.25">
      <c r="A175" s="25" t="s">
        <v>9</v>
      </c>
      <c r="B175" s="25" t="s">
        <v>270</v>
      </c>
      <c r="C175" s="25" t="s">
        <v>50</v>
      </c>
      <c r="D175" s="25" t="s">
        <v>51</v>
      </c>
      <c r="E175" s="26">
        <v>6</v>
      </c>
      <c r="F175" s="25" t="s">
        <v>52</v>
      </c>
      <c r="G175" s="27">
        <f>$H$171</f>
        <v>89</v>
      </c>
      <c r="H175" s="27">
        <f>$G175+$E175</f>
        <v>95</v>
      </c>
      <c r="I175" s="28">
        <f>WORKDAY(Settings!$D$10,INT($G175/HoursPerDay)+1,Holidays)</f>
        <v>46237</v>
      </c>
      <c r="J175" s="28">
        <f>IF($E175=0,$I175,WORKDAY(Settings!$D$10,ROUNDUP($H175/HoursPerDay,0),Holidays))</f>
        <v>46238</v>
      </c>
    </row>
    <row r="176" spans="1:10" x14ac:dyDescent="0.25">
      <c r="A176" s="25" t="s">
        <v>9</v>
      </c>
      <c r="B176" s="25" t="s">
        <v>271</v>
      </c>
      <c r="C176" s="25" t="s">
        <v>54</v>
      </c>
      <c r="D176" s="25" t="s">
        <v>51</v>
      </c>
      <c r="E176" s="26">
        <v>6</v>
      </c>
      <c r="F176" s="25" t="s">
        <v>78</v>
      </c>
      <c r="G176" s="27">
        <f>$H$158</f>
        <v>114</v>
      </c>
      <c r="H176" s="27">
        <f>$G176+$E176</f>
        <v>120</v>
      </c>
      <c r="I176" s="28">
        <f>WORKDAY(Settings!$D$10,INT($G176/HoursPerDay)+1,Holidays)</f>
        <v>46241</v>
      </c>
      <c r="J176" s="28">
        <f>IF($E176=0,$I176,WORKDAY(Settings!$D$10,ROUNDUP($H176/HoursPerDay,0),Holidays))</f>
        <v>46244</v>
      </c>
    </row>
    <row r="177" spans="1:10" x14ac:dyDescent="0.25">
      <c r="A177" s="25" t="s">
        <v>9</v>
      </c>
      <c r="B177" s="25" t="s">
        <v>272</v>
      </c>
      <c r="C177" s="25" t="s">
        <v>56</v>
      </c>
      <c r="D177" s="25" t="s">
        <v>51</v>
      </c>
      <c r="E177" s="26">
        <v>7</v>
      </c>
      <c r="F177" s="25" t="s">
        <v>60</v>
      </c>
      <c r="G177" s="27">
        <f>$H$117</f>
        <v>74</v>
      </c>
      <c r="H177" s="27">
        <f>$G177+$E177</f>
        <v>81</v>
      </c>
      <c r="I177" s="28">
        <f>WORKDAY(Settings!$D$10,INT($G177/HoursPerDay)+1,Holidays)</f>
        <v>46233</v>
      </c>
      <c r="J177" s="28">
        <f>IF($E177=0,$I177,WORKDAY(Settings!$D$10,ROUNDUP($H177/HoursPerDay,0),Holidays))</f>
        <v>46234</v>
      </c>
    </row>
    <row r="178" spans="1:10" x14ac:dyDescent="0.25">
      <c r="A178" s="22" t="s">
        <v>9</v>
      </c>
      <c r="B178" s="22" t="s">
        <v>273</v>
      </c>
      <c r="C178" s="22" t="s">
        <v>274</v>
      </c>
      <c r="D178" s="22" t="s">
        <v>48</v>
      </c>
      <c r="E178" s="23">
        <f>SUMIF($D179:$D181,"Task",$E179:$E181)</f>
        <v>15</v>
      </c>
      <c r="F178" s="22"/>
      <c r="G178" s="23"/>
      <c r="H178" s="23"/>
      <c r="I178" s="24">
        <f>MIN($I179:$I181)</f>
        <v>46234</v>
      </c>
      <c r="J178" s="24">
        <f>MAX($J179:$J181)</f>
        <v>46244</v>
      </c>
    </row>
    <row r="179" spans="1:10" x14ac:dyDescent="0.25">
      <c r="A179" s="25" t="s">
        <v>9</v>
      </c>
      <c r="B179" s="25" t="s">
        <v>275</v>
      </c>
      <c r="C179" s="25" t="s">
        <v>50</v>
      </c>
      <c r="D179" s="25" t="s">
        <v>51</v>
      </c>
      <c r="E179" s="26">
        <v>4</v>
      </c>
      <c r="F179" s="25" t="s">
        <v>52</v>
      </c>
      <c r="G179" s="27">
        <f>$H$175</f>
        <v>95</v>
      </c>
      <c r="H179" s="27">
        <f>$G179+$E179</f>
        <v>99</v>
      </c>
      <c r="I179" s="28">
        <f>WORKDAY(Settings!$D$10,INT($G179/HoursPerDay)+1,Holidays)</f>
        <v>46238</v>
      </c>
      <c r="J179" s="28">
        <f>IF($E179=0,$I179,WORKDAY(Settings!$D$10,ROUNDUP($H179/HoursPerDay,0),Holidays))</f>
        <v>46239</v>
      </c>
    </row>
    <row r="180" spans="1:10" x14ac:dyDescent="0.25">
      <c r="A180" s="25" t="s">
        <v>9</v>
      </c>
      <c r="B180" s="25" t="s">
        <v>276</v>
      </c>
      <c r="C180" s="25" t="s">
        <v>54</v>
      </c>
      <c r="D180" s="25" t="s">
        <v>51</v>
      </c>
      <c r="E180" s="26">
        <v>6</v>
      </c>
      <c r="F180" s="25" t="s">
        <v>78</v>
      </c>
      <c r="G180" s="27">
        <f>$H$176</f>
        <v>120</v>
      </c>
      <c r="H180" s="27">
        <f>$G180+$E180</f>
        <v>126</v>
      </c>
      <c r="I180" s="28">
        <f>WORKDAY(Settings!$D$10,INT($G180/HoursPerDay)+1,Holidays)</f>
        <v>46244</v>
      </c>
      <c r="J180" s="28">
        <f>IF($E180=0,$I180,WORKDAY(Settings!$D$10,ROUNDUP($H180/HoursPerDay,0),Holidays))</f>
        <v>46244</v>
      </c>
    </row>
    <row r="181" spans="1:10" x14ac:dyDescent="0.25">
      <c r="A181" s="25" t="s">
        <v>9</v>
      </c>
      <c r="B181" s="25" t="s">
        <v>277</v>
      </c>
      <c r="C181" s="25" t="s">
        <v>56</v>
      </c>
      <c r="D181" s="25" t="s">
        <v>51</v>
      </c>
      <c r="E181" s="26">
        <v>5</v>
      </c>
      <c r="F181" s="25" t="s">
        <v>60</v>
      </c>
      <c r="G181" s="27">
        <f>$H$177</f>
        <v>81</v>
      </c>
      <c r="H181" s="27">
        <f>$G181+$E181</f>
        <v>86</v>
      </c>
      <c r="I181" s="28">
        <f>WORKDAY(Settings!$D$10,INT($G181/HoursPerDay)+1,Holidays)</f>
        <v>46234</v>
      </c>
      <c r="J181" s="28">
        <f>IF($E181=0,$I181,WORKDAY(Settings!$D$10,ROUNDUP($H181/HoursPerDay,0),Holidays))</f>
        <v>46237</v>
      </c>
    </row>
    <row r="182" spans="1:10" x14ac:dyDescent="0.25">
      <c r="A182" s="22" t="s">
        <v>9</v>
      </c>
      <c r="B182" s="22" t="s">
        <v>278</v>
      </c>
      <c r="C182" s="22" t="s">
        <v>279</v>
      </c>
      <c r="D182" s="22" t="s">
        <v>48</v>
      </c>
      <c r="E182" s="23">
        <f>SUMIF($D183:$D185,"Task",$E183:$E185)</f>
        <v>15</v>
      </c>
      <c r="F182" s="22"/>
      <c r="G182" s="23"/>
      <c r="H182" s="23"/>
      <c r="I182" s="24">
        <f>MIN($I183:$I185)</f>
        <v>46237</v>
      </c>
      <c r="J182" s="24">
        <f>MAX($J183:$J185)</f>
        <v>46245</v>
      </c>
    </row>
    <row r="183" spans="1:10" x14ac:dyDescent="0.25">
      <c r="A183" s="25" t="s">
        <v>9</v>
      </c>
      <c r="B183" s="25" t="s">
        <v>280</v>
      </c>
      <c r="C183" s="25" t="s">
        <v>50</v>
      </c>
      <c r="D183" s="25" t="s">
        <v>51</v>
      </c>
      <c r="E183" s="26">
        <v>4</v>
      </c>
      <c r="F183" s="25" t="s">
        <v>52</v>
      </c>
      <c r="G183" s="27">
        <f>$H$179</f>
        <v>99</v>
      </c>
      <c r="H183" s="27">
        <f>$G183+$E183</f>
        <v>103</v>
      </c>
      <c r="I183" s="28">
        <f>WORKDAY(Settings!$D$10,INT($G183/HoursPerDay)+1,Holidays)</f>
        <v>46239</v>
      </c>
      <c r="J183" s="28">
        <f>IF($E183=0,$I183,WORKDAY(Settings!$D$10,ROUNDUP($H183/HoursPerDay,0),Holidays))</f>
        <v>46239</v>
      </c>
    </row>
    <row r="184" spans="1:10" x14ac:dyDescent="0.25">
      <c r="A184" s="25" t="s">
        <v>9</v>
      </c>
      <c r="B184" s="25" t="s">
        <v>281</v>
      </c>
      <c r="C184" s="25" t="s">
        <v>54</v>
      </c>
      <c r="D184" s="25" t="s">
        <v>51</v>
      </c>
      <c r="E184" s="26">
        <v>6</v>
      </c>
      <c r="F184" s="25" t="s">
        <v>78</v>
      </c>
      <c r="G184" s="27">
        <f>$H$180</f>
        <v>126</v>
      </c>
      <c r="H184" s="27">
        <f>$G184+$E184</f>
        <v>132</v>
      </c>
      <c r="I184" s="28">
        <f>WORKDAY(Settings!$D$10,INT($G184/HoursPerDay)+1,Holidays)</f>
        <v>46245</v>
      </c>
      <c r="J184" s="28">
        <f>IF($E184=0,$I184,WORKDAY(Settings!$D$10,ROUNDUP($H184/HoursPerDay,0),Holidays))</f>
        <v>46245</v>
      </c>
    </row>
    <row r="185" spans="1:10" x14ac:dyDescent="0.25">
      <c r="A185" s="25" t="s">
        <v>9</v>
      </c>
      <c r="B185" s="25" t="s">
        <v>282</v>
      </c>
      <c r="C185" s="25" t="s">
        <v>56</v>
      </c>
      <c r="D185" s="25" t="s">
        <v>51</v>
      </c>
      <c r="E185" s="26">
        <v>5</v>
      </c>
      <c r="F185" s="25" t="s">
        <v>60</v>
      </c>
      <c r="G185" s="27">
        <f>$H$181</f>
        <v>86</v>
      </c>
      <c r="H185" s="27">
        <f>$G185+$E185</f>
        <v>91</v>
      </c>
      <c r="I185" s="28">
        <f>WORKDAY(Settings!$D$10,INT($G185/HoursPerDay)+1,Holidays)</f>
        <v>46237</v>
      </c>
      <c r="J185" s="28">
        <f>IF($E185=0,$I185,WORKDAY(Settings!$D$10,ROUNDUP($H185/HoursPerDay,0),Holidays))</f>
        <v>46237</v>
      </c>
    </row>
    <row r="186" spans="1:10" x14ac:dyDescent="0.25">
      <c r="A186" s="22" t="s">
        <v>9</v>
      </c>
      <c r="B186" s="22" t="s">
        <v>283</v>
      </c>
      <c r="C186" s="22" t="s">
        <v>284</v>
      </c>
      <c r="D186" s="22" t="s">
        <v>48</v>
      </c>
      <c r="E186" s="23">
        <f>SUMIF($D187:$D189,"Task",$E187:$E189)</f>
        <v>15</v>
      </c>
      <c r="F186" s="22"/>
      <c r="G186" s="23"/>
      <c r="H186" s="23"/>
      <c r="I186" s="24">
        <f>MIN($I187:$I189)</f>
        <v>46238</v>
      </c>
      <c r="J186" s="24">
        <f>MAX($J187:$J189)</f>
        <v>46246</v>
      </c>
    </row>
    <row r="187" spans="1:10" x14ac:dyDescent="0.25">
      <c r="A187" s="25" t="s">
        <v>9</v>
      </c>
      <c r="B187" s="25" t="s">
        <v>285</v>
      </c>
      <c r="C187" s="25" t="s">
        <v>50</v>
      </c>
      <c r="D187" s="25" t="s">
        <v>51</v>
      </c>
      <c r="E187" s="26">
        <v>4</v>
      </c>
      <c r="F187" s="25" t="s">
        <v>52</v>
      </c>
      <c r="G187" s="27">
        <f>$H$183</f>
        <v>103</v>
      </c>
      <c r="H187" s="27">
        <f>$G187+$E187</f>
        <v>107</v>
      </c>
      <c r="I187" s="28">
        <f>WORKDAY(Settings!$D$10,INT($G187/HoursPerDay)+1,Holidays)</f>
        <v>46239</v>
      </c>
      <c r="J187" s="28">
        <f>IF($E187=0,$I187,WORKDAY(Settings!$D$10,ROUNDUP($H187/HoursPerDay,0),Holidays))</f>
        <v>46240</v>
      </c>
    </row>
    <row r="188" spans="1:10" x14ac:dyDescent="0.25">
      <c r="A188" s="25" t="s">
        <v>9</v>
      </c>
      <c r="B188" s="25" t="s">
        <v>286</v>
      </c>
      <c r="C188" s="25" t="s">
        <v>54</v>
      </c>
      <c r="D188" s="25" t="s">
        <v>51</v>
      </c>
      <c r="E188" s="26">
        <v>6</v>
      </c>
      <c r="F188" s="25" t="s">
        <v>78</v>
      </c>
      <c r="G188" s="27">
        <f>$H$184</f>
        <v>132</v>
      </c>
      <c r="H188" s="27">
        <f>$G188+$E188</f>
        <v>138</v>
      </c>
      <c r="I188" s="28">
        <f>WORKDAY(Settings!$D$10,INT($G188/HoursPerDay)+1,Holidays)</f>
        <v>46245</v>
      </c>
      <c r="J188" s="28">
        <f>IF($E188=0,$I188,WORKDAY(Settings!$D$10,ROUNDUP($H188/HoursPerDay,0),Holidays))</f>
        <v>46246</v>
      </c>
    </row>
    <row r="189" spans="1:10" x14ac:dyDescent="0.25">
      <c r="A189" s="25" t="s">
        <v>9</v>
      </c>
      <c r="B189" s="25" t="s">
        <v>287</v>
      </c>
      <c r="C189" s="25" t="s">
        <v>56</v>
      </c>
      <c r="D189" s="25" t="s">
        <v>51</v>
      </c>
      <c r="E189" s="26">
        <v>5</v>
      </c>
      <c r="F189" s="25" t="s">
        <v>60</v>
      </c>
      <c r="G189" s="27">
        <f>$H$185</f>
        <v>91</v>
      </c>
      <c r="H189" s="27">
        <f>$G189+$E189</f>
        <v>96</v>
      </c>
      <c r="I189" s="28">
        <f>WORKDAY(Settings!$D$10,INT($G189/HoursPerDay)+1,Holidays)</f>
        <v>46238</v>
      </c>
      <c r="J189" s="28">
        <f>IF($E189=0,$I189,WORKDAY(Settings!$D$10,ROUNDUP($H189/HoursPerDay,0),Holidays))</f>
        <v>46238</v>
      </c>
    </row>
    <row r="190" spans="1:10" x14ac:dyDescent="0.25">
      <c r="A190" s="22" t="s">
        <v>9</v>
      </c>
      <c r="B190" s="22" t="s">
        <v>288</v>
      </c>
      <c r="C190" s="22" t="s">
        <v>289</v>
      </c>
      <c r="D190" s="22" t="s">
        <v>48</v>
      </c>
      <c r="E190" s="23">
        <f>SUMIF($D191:$D193,"Task",$E191:$E193)</f>
        <v>15</v>
      </c>
      <c r="F190" s="22"/>
      <c r="G190" s="23"/>
      <c r="H190" s="23"/>
      <c r="I190" s="24">
        <f>MIN($I191:$I193)</f>
        <v>46238</v>
      </c>
      <c r="J190" s="24">
        <f>MAX($J191:$J193)</f>
        <v>46247</v>
      </c>
    </row>
    <row r="191" spans="1:10" x14ac:dyDescent="0.25">
      <c r="A191" s="25" t="s">
        <v>9</v>
      </c>
      <c r="B191" s="25" t="s">
        <v>290</v>
      </c>
      <c r="C191" s="25" t="s">
        <v>50</v>
      </c>
      <c r="D191" s="25" t="s">
        <v>51</v>
      </c>
      <c r="E191" s="26">
        <v>4</v>
      </c>
      <c r="F191" s="25" t="s">
        <v>52</v>
      </c>
      <c r="G191" s="27">
        <f>$H$187</f>
        <v>107</v>
      </c>
      <c r="H191" s="27">
        <f>$G191+$E191</f>
        <v>111</v>
      </c>
      <c r="I191" s="28">
        <f>WORKDAY(Settings!$D$10,INT($G191/HoursPerDay)+1,Holidays)</f>
        <v>46240</v>
      </c>
      <c r="J191" s="28">
        <f>IF($E191=0,$I191,WORKDAY(Settings!$D$10,ROUNDUP($H191/HoursPerDay,0),Holidays))</f>
        <v>46240</v>
      </c>
    </row>
    <row r="192" spans="1:10" x14ac:dyDescent="0.25">
      <c r="A192" s="25" t="s">
        <v>9</v>
      </c>
      <c r="B192" s="25" t="s">
        <v>291</v>
      </c>
      <c r="C192" s="25" t="s">
        <v>54</v>
      </c>
      <c r="D192" s="25" t="s">
        <v>51</v>
      </c>
      <c r="E192" s="26">
        <v>6</v>
      </c>
      <c r="F192" s="25" t="s">
        <v>78</v>
      </c>
      <c r="G192" s="27">
        <f>$H$188</f>
        <v>138</v>
      </c>
      <c r="H192" s="27">
        <f>$G192+$E192</f>
        <v>144</v>
      </c>
      <c r="I192" s="28">
        <f>WORKDAY(Settings!$D$10,INT($G192/HoursPerDay)+1,Holidays)</f>
        <v>46246</v>
      </c>
      <c r="J192" s="28">
        <f>IF($E192=0,$I192,WORKDAY(Settings!$D$10,ROUNDUP($H192/HoursPerDay,0),Holidays))</f>
        <v>46247</v>
      </c>
    </row>
    <row r="193" spans="1:10" x14ac:dyDescent="0.25">
      <c r="A193" s="25" t="s">
        <v>9</v>
      </c>
      <c r="B193" s="25" t="s">
        <v>292</v>
      </c>
      <c r="C193" s="25" t="s">
        <v>56</v>
      </c>
      <c r="D193" s="25" t="s">
        <v>51</v>
      </c>
      <c r="E193" s="26">
        <v>5</v>
      </c>
      <c r="F193" s="25" t="s">
        <v>60</v>
      </c>
      <c r="G193" s="27">
        <f>$H$189</f>
        <v>96</v>
      </c>
      <c r="H193" s="27">
        <f>$G193+$E193</f>
        <v>101</v>
      </c>
      <c r="I193" s="28">
        <f>WORKDAY(Settings!$D$10,INT($G193/HoursPerDay)+1,Holidays)</f>
        <v>46238</v>
      </c>
      <c r="J193" s="28">
        <f>IF($E193=0,$I193,WORKDAY(Settings!$D$10,ROUNDUP($H193/HoursPerDay,0),Holidays))</f>
        <v>46239</v>
      </c>
    </row>
    <row r="194" spans="1:10" x14ac:dyDescent="0.25">
      <c r="A194" s="22" t="s">
        <v>9</v>
      </c>
      <c r="B194" s="22" t="s">
        <v>293</v>
      </c>
      <c r="C194" s="22" t="s">
        <v>294</v>
      </c>
      <c r="D194" s="22" t="s">
        <v>48</v>
      </c>
      <c r="E194" s="23">
        <f>SUMIF($D195:$D197,"Task",$E195:$E197)</f>
        <v>15</v>
      </c>
      <c r="F194" s="22"/>
      <c r="G194" s="23"/>
      <c r="H194" s="23"/>
      <c r="I194" s="24">
        <f>MIN($I195:$I197)</f>
        <v>46239</v>
      </c>
      <c r="J194" s="24">
        <f>MAX($J195:$J197)</f>
        <v>46248</v>
      </c>
    </row>
    <row r="195" spans="1:10" x14ac:dyDescent="0.25">
      <c r="A195" s="25" t="s">
        <v>9</v>
      </c>
      <c r="B195" s="25" t="s">
        <v>295</v>
      </c>
      <c r="C195" s="25" t="s">
        <v>50</v>
      </c>
      <c r="D195" s="25" t="s">
        <v>51</v>
      </c>
      <c r="E195" s="26">
        <v>4</v>
      </c>
      <c r="F195" s="25" t="s">
        <v>52</v>
      </c>
      <c r="G195" s="27">
        <f>$H$191</f>
        <v>111</v>
      </c>
      <c r="H195" s="27">
        <f>$G195+$E195</f>
        <v>115</v>
      </c>
      <c r="I195" s="28">
        <f>WORKDAY(Settings!$D$10,INT($G195/HoursPerDay)+1,Holidays)</f>
        <v>46240</v>
      </c>
      <c r="J195" s="28">
        <f>IF($E195=0,$I195,WORKDAY(Settings!$D$10,ROUNDUP($H195/HoursPerDay,0),Holidays))</f>
        <v>46241</v>
      </c>
    </row>
    <row r="196" spans="1:10" x14ac:dyDescent="0.25">
      <c r="A196" s="25" t="s">
        <v>9</v>
      </c>
      <c r="B196" s="25" t="s">
        <v>296</v>
      </c>
      <c r="C196" s="25" t="s">
        <v>54</v>
      </c>
      <c r="D196" s="25" t="s">
        <v>51</v>
      </c>
      <c r="E196" s="26">
        <v>6</v>
      </c>
      <c r="F196" s="25" t="s">
        <v>78</v>
      </c>
      <c r="G196" s="27">
        <f>$H$192</f>
        <v>144</v>
      </c>
      <c r="H196" s="27">
        <f>$G196+$E196</f>
        <v>150</v>
      </c>
      <c r="I196" s="28">
        <f>WORKDAY(Settings!$D$10,INT($G196/HoursPerDay)+1,Holidays)</f>
        <v>46247</v>
      </c>
      <c r="J196" s="28">
        <f>IF($E196=0,$I196,WORKDAY(Settings!$D$10,ROUNDUP($H196/HoursPerDay,0),Holidays))</f>
        <v>46248</v>
      </c>
    </row>
    <row r="197" spans="1:10" x14ac:dyDescent="0.25">
      <c r="A197" s="25" t="s">
        <v>9</v>
      </c>
      <c r="B197" s="25" t="s">
        <v>297</v>
      </c>
      <c r="C197" s="25" t="s">
        <v>56</v>
      </c>
      <c r="D197" s="25" t="s">
        <v>51</v>
      </c>
      <c r="E197" s="26">
        <v>5</v>
      </c>
      <c r="F197" s="25" t="s">
        <v>60</v>
      </c>
      <c r="G197" s="27">
        <f>$H$193</f>
        <v>101</v>
      </c>
      <c r="H197" s="27">
        <f>$G197+$E197</f>
        <v>106</v>
      </c>
      <c r="I197" s="28">
        <f>WORKDAY(Settings!$D$10,INT($G197/HoursPerDay)+1,Holidays)</f>
        <v>46239</v>
      </c>
      <c r="J197" s="28">
        <f>IF($E197=0,$I197,WORKDAY(Settings!$D$10,ROUNDUP($H197/HoursPerDay,0),Holidays))</f>
        <v>46240</v>
      </c>
    </row>
    <row r="198" spans="1:10" x14ac:dyDescent="0.25">
      <c r="A198" s="22" t="s">
        <v>9</v>
      </c>
      <c r="B198" s="22" t="s">
        <v>298</v>
      </c>
      <c r="C198" s="22" t="s">
        <v>299</v>
      </c>
      <c r="D198" s="22" t="s">
        <v>48</v>
      </c>
      <c r="E198" s="23">
        <f>SUMIF($D199:$D201,"Task",$E199:$E201)</f>
        <v>0</v>
      </c>
      <c r="F198" s="22"/>
      <c r="G198" s="23"/>
      <c r="H198" s="23"/>
      <c r="I198" s="24">
        <f>MIN($I199:$I201)</f>
        <v>46240</v>
      </c>
      <c r="J198" s="24">
        <f>MAX($J199:$J201)</f>
        <v>46248</v>
      </c>
    </row>
    <row r="199" spans="1:10" x14ac:dyDescent="0.25">
      <c r="A199" s="25" t="s">
        <v>9</v>
      </c>
      <c r="B199" s="25" t="s">
        <v>300</v>
      </c>
      <c r="C199" s="25" t="s">
        <v>50</v>
      </c>
      <c r="D199" s="25" t="s">
        <v>51</v>
      </c>
      <c r="E199" s="26">
        <v>0</v>
      </c>
      <c r="F199" s="25" t="s">
        <v>52</v>
      </c>
      <c r="G199" s="27">
        <f>$H$195</f>
        <v>115</v>
      </c>
      <c r="H199" s="27">
        <f>$G199+$E199</f>
        <v>115</v>
      </c>
      <c r="I199" s="28">
        <f>WORKDAY(Settings!$D$10,INT($G199/HoursPerDay)+1,Holidays)</f>
        <v>46241</v>
      </c>
      <c r="J199" s="28">
        <f>IF($E199=0,$I199,WORKDAY(Settings!$D$10,ROUNDUP($H199/HoursPerDay,0),Holidays))</f>
        <v>46241</v>
      </c>
    </row>
    <row r="200" spans="1:10" x14ac:dyDescent="0.25">
      <c r="A200" s="25" t="s">
        <v>9</v>
      </c>
      <c r="B200" s="25" t="s">
        <v>301</v>
      </c>
      <c r="C200" s="25" t="s">
        <v>54</v>
      </c>
      <c r="D200" s="25" t="s">
        <v>51</v>
      </c>
      <c r="E200" s="26">
        <v>0</v>
      </c>
      <c r="F200" s="25" t="s">
        <v>78</v>
      </c>
      <c r="G200" s="27">
        <f>$H$196</f>
        <v>150</v>
      </c>
      <c r="H200" s="27">
        <f>$G200+$E200</f>
        <v>150</v>
      </c>
      <c r="I200" s="28">
        <f>WORKDAY(Settings!$D$10,INT($G200/HoursPerDay)+1,Holidays)</f>
        <v>46248</v>
      </c>
      <c r="J200" s="28">
        <f>IF($E200=0,$I200,WORKDAY(Settings!$D$10,ROUNDUP($H200/HoursPerDay,0),Holidays))</f>
        <v>46248</v>
      </c>
    </row>
    <row r="201" spans="1:10" x14ac:dyDescent="0.25">
      <c r="A201" s="25" t="s">
        <v>9</v>
      </c>
      <c r="B201" s="25" t="s">
        <v>302</v>
      </c>
      <c r="C201" s="25" t="s">
        <v>56</v>
      </c>
      <c r="D201" s="25" t="s">
        <v>51</v>
      </c>
      <c r="E201" s="26">
        <v>0</v>
      </c>
      <c r="F201" s="25" t="s">
        <v>60</v>
      </c>
      <c r="G201" s="27">
        <f>$H$197</f>
        <v>106</v>
      </c>
      <c r="H201" s="27">
        <f>$G201+$E201</f>
        <v>106</v>
      </c>
      <c r="I201" s="28">
        <f>WORKDAY(Settings!$D$10,INT($G201/HoursPerDay)+1,Holidays)</f>
        <v>46240</v>
      </c>
      <c r="J201" s="28">
        <f>IF($E201=0,$I201,WORKDAY(Settings!$D$10,ROUNDUP($H201/HoursPerDay,0),Holidays))</f>
        <v>46240</v>
      </c>
    </row>
    <row r="202" spans="1:10" x14ac:dyDescent="0.25">
      <c r="A202" s="19" t="s">
        <v>9</v>
      </c>
      <c r="B202" s="19" t="s">
        <v>303</v>
      </c>
      <c r="C202" s="19" t="s">
        <v>304</v>
      </c>
      <c r="D202" s="19" t="s">
        <v>45</v>
      </c>
      <c r="E202" s="20">
        <f>SUMIF($D203:$D222,"Task",$E203:$E222)</f>
        <v>62</v>
      </c>
      <c r="F202" s="19"/>
      <c r="G202" s="20"/>
      <c r="H202" s="20"/>
      <c r="I202" s="21">
        <f>MIN($I203:$I222)</f>
        <v>46240</v>
      </c>
      <c r="J202" s="21">
        <f>MAX($J203:$J222)</f>
        <v>46247</v>
      </c>
    </row>
    <row r="203" spans="1:10" x14ac:dyDescent="0.25">
      <c r="A203" s="22" t="s">
        <v>9</v>
      </c>
      <c r="B203" s="22" t="s">
        <v>305</v>
      </c>
      <c r="C203" s="22" t="s">
        <v>306</v>
      </c>
      <c r="D203" s="22" t="s">
        <v>48</v>
      </c>
      <c r="E203" s="23">
        <f>SUMIF($D204:$D207,"Task",$E204:$E207)</f>
        <v>20</v>
      </c>
      <c r="F203" s="22"/>
      <c r="G203" s="23"/>
      <c r="H203" s="23"/>
      <c r="I203" s="24">
        <f>MIN($I204:$I207)</f>
        <v>46240</v>
      </c>
      <c r="J203" s="24">
        <f>MAX($J204:$J207)</f>
        <v>46246</v>
      </c>
    </row>
    <row r="204" spans="1:10" x14ac:dyDescent="0.25">
      <c r="A204" s="25" t="s">
        <v>9</v>
      </c>
      <c r="B204" s="25" t="s">
        <v>307</v>
      </c>
      <c r="C204" s="25" t="s">
        <v>50</v>
      </c>
      <c r="D204" s="25" t="s">
        <v>51</v>
      </c>
      <c r="E204" s="26">
        <v>4</v>
      </c>
      <c r="F204" s="25" t="s">
        <v>52</v>
      </c>
      <c r="G204" s="27">
        <f>$H$199</f>
        <v>115</v>
      </c>
      <c r="H204" s="27">
        <f>$G204+$E204</f>
        <v>119</v>
      </c>
      <c r="I204" s="28">
        <f>WORKDAY(Settings!$D$10,INT($G204/HoursPerDay)+1,Holidays)</f>
        <v>46241</v>
      </c>
      <c r="J204" s="28">
        <f>IF($E204=0,$I204,WORKDAY(Settings!$D$10,ROUNDUP($H204/HoursPerDay,0),Holidays))</f>
        <v>46241</v>
      </c>
    </row>
    <row r="205" spans="1:10" x14ac:dyDescent="0.25">
      <c r="A205" s="25" t="s">
        <v>9</v>
      </c>
      <c r="B205" s="25" t="s">
        <v>308</v>
      </c>
      <c r="C205" s="25" t="s">
        <v>54</v>
      </c>
      <c r="D205" s="25" t="s">
        <v>51</v>
      </c>
      <c r="E205" s="26">
        <v>6</v>
      </c>
      <c r="F205" s="25" t="s">
        <v>52</v>
      </c>
      <c r="G205" s="27">
        <f>$H$204</f>
        <v>119</v>
      </c>
      <c r="H205" s="27">
        <f>$G205+$E205</f>
        <v>125</v>
      </c>
      <c r="I205" s="28">
        <f>WORKDAY(Settings!$D$10,INT($G205/HoursPerDay)+1,Holidays)</f>
        <v>46244</v>
      </c>
      <c r="J205" s="28">
        <f>IF($E205=0,$I205,WORKDAY(Settings!$D$10,ROUNDUP($H205/HoursPerDay,0),Holidays))</f>
        <v>46244</v>
      </c>
    </row>
    <row r="206" spans="1:10" x14ac:dyDescent="0.25">
      <c r="A206" s="25" t="s">
        <v>9</v>
      </c>
      <c r="B206" s="25" t="s">
        <v>309</v>
      </c>
      <c r="C206" s="25" t="s">
        <v>59</v>
      </c>
      <c r="D206" s="25" t="s">
        <v>51</v>
      </c>
      <c r="E206" s="26">
        <v>5</v>
      </c>
      <c r="F206" s="25" t="s">
        <v>60</v>
      </c>
      <c r="G206" s="27">
        <f>$H$201</f>
        <v>106</v>
      </c>
      <c r="H206" s="27">
        <f>$G206+$E206</f>
        <v>111</v>
      </c>
      <c r="I206" s="28">
        <f>WORKDAY(Settings!$D$10,INT($G206/HoursPerDay)+1,Holidays)</f>
        <v>46240</v>
      </c>
      <c r="J206" s="28">
        <f>IF($E206=0,$I206,WORKDAY(Settings!$D$10,ROUNDUP($H206/HoursPerDay,0),Holidays))</f>
        <v>46240</v>
      </c>
    </row>
    <row r="207" spans="1:10" x14ac:dyDescent="0.25">
      <c r="A207" s="25" t="s">
        <v>9</v>
      </c>
      <c r="B207" s="25" t="s">
        <v>309</v>
      </c>
      <c r="C207" s="25" t="s">
        <v>56</v>
      </c>
      <c r="D207" s="25" t="s">
        <v>51</v>
      </c>
      <c r="E207" s="26">
        <v>5</v>
      </c>
      <c r="F207" s="25" t="s">
        <v>57</v>
      </c>
      <c r="G207" s="27">
        <f>$H$172</f>
        <v>131</v>
      </c>
      <c r="H207" s="27">
        <f>$G207+$E207</f>
        <v>136</v>
      </c>
      <c r="I207" s="28">
        <f>WORKDAY(Settings!$D$10,INT($G207/HoursPerDay)+1,Holidays)</f>
        <v>46245</v>
      </c>
      <c r="J207" s="28">
        <f>IF($E207=0,$I207,WORKDAY(Settings!$D$10,ROUNDUP($H207/HoursPerDay,0),Holidays))</f>
        <v>46246</v>
      </c>
    </row>
    <row r="208" spans="1:10" x14ac:dyDescent="0.25">
      <c r="A208" s="22" t="s">
        <v>9</v>
      </c>
      <c r="B208" s="22" t="s">
        <v>310</v>
      </c>
      <c r="C208" s="22" t="s">
        <v>311</v>
      </c>
      <c r="D208" s="22" t="s">
        <v>48</v>
      </c>
      <c r="E208" s="23">
        <f>SUMIF($D209:$D212,"Task",$E209:$E212)</f>
        <v>15</v>
      </c>
      <c r="F208" s="22"/>
      <c r="G208" s="23"/>
      <c r="H208" s="23"/>
      <c r="I208" s="24">
        <f>MIN($I209:$I212)</f>
        <v>46240</v>
      </c>
      <c r="J208" s="24">
        <f>MAX($J209:$J212)</f>
        <v>46246</v>
      </c>
    </row>
    <row r="209" spans="1:10" x14ac:dyDescent="0.25">
      <c r="A209" s="25" t="s">
        <v>9</v>
      </c>
      <c r="B209" s="25" t="s">
        <v>312</v>
      </c>
      <c r="C209" s="25" t="s">
        <v>50</v>
      </c>
      <c r="D209" s="25" t="s">
        <v>51</v>
      </c>
      <c r="E209" s="26">
        <v>2</v>
      </c>
      <c r="F209" s="25" t="s">
        <v>52</v>
      </c>
      <c r="G209" s="27">
        <f>$H$205</f>
        <v>125</v>
      </c>
      <c r="H209" s="27">
        <f>$G209+$E209</f>
        <v>127</v>
      </c>
      <c r="I209" s="28">
        <f>WORKDAY(Settings!$D$10,INT($G209/HoursPerDay)+1,Holidays)</f>
        <v>46244</v>
      </c>
      <c r="J209" s="28">
        <f>IF($E209=0,$I209,WORKDAY(Settings!$D$10,ROUNDUP($H209/HoursPerDay,0),Holidays))</f>
        <v>46245</v>
      </c>
    </row>
    <row r="210" spans="1:10" x14ac:dyDescent="0.25">
      <c r="A210" s="25" t="s">
        <v>9</v>
      </c>
      <c r="B210" s="25" t="s">
        <v>313</v>
      </c>
      <c r="C210" s="25" t="s">
        <v>54</v>
      </c>
      <c r="D210" s="25" t="s">
        <v>51</v>
      </c>
      <c r="E210" s="26">
        <v>4</v>
      </c>
      <c r="F210" s="25" t="s">
        <v>52</v>
      </c>
      <c r="G210" s="27">
        <f>$H$209</f>
        <v>127</v>
      </c>
      <c r="H210" s="27">
        <f>$G210+$E210</f>
        <v>131</v>
      </c>
      <c r="I210" s="28">
        <f>WORKDAY(Settings!$D$10,INT($G210/HoursPerDay)+1,Holidays)</f>
        <v>46245</v>
      </c>
      <c r="J210" s="28">
        <f>IF($E210=0,$I210,WORKDAY(Settings!$D$10,ROUNDUP($H210/HoursPerDay,0),Holidays))</f>
        <v>46245</v>
      </c>
    </row>
    <row r="211" spans="1:10" x14ac:dyDescent="0.25">
      <c r="A211" s="25" t="s">
        <v>9</v>
      </c>
      <c r="B211" s="25" t="s">
        <v>314</v>
      </c>
      <c r="C211" s="25" t="s">
        <v>59</v>
      </c>
      <c r="D211" s="25" t="s">
        <v>51</v>
      </c>
      <c r="E211" s="26">
        <v>5</v>
      </c>
      <c r="F211" s="25" t="s">
        <v>60</v>
      </c>
      <c r="G211" s="27">
        <f>$H$206</f>
        <v>111</v>
      </c>
      <c r="H211" s="27">
        <f>$G211+$E211</f>
        <v>116</v>
      </c>
      <c r="I211" s="28">
        <f>WORKDAY(Settings!$D$10,INT($G211/HoursPerDay)+1,Holidays)</f>
        <v>46240</v>
      </c>
      <c r="J211" s="28">
        <f>IF($E211=0,$I211,WORKDAY(Settings!$D$10,ROUNDUP($H211/HoursPerDay,0),Holidays))</f>
        <v>46241</v>
      </c>
    </row>
    <row r="212" spans="1:10" x14ac:dyDescent="0.25">
      <c r="A212" s="25" t="s">
        <v>9</v>
      </c>
      <c r="B212" s="25" t="s">
        <v>314</v>
      </c>
      <c r="C212" s="25" t="s">
        <v>56</v>
      </c>
      <c r="D212" s="25" t="s">
        <v>51</v>
      </c>
      <c r="E212" s="26">
        <v>4</v>
      </c>
      <c r="F212" s="25" t="s">
        <v>57</v>
      </c>
      <c r="G212" s="27">
        <f>$H$207</f>
        <v>136</v>
      </c>
      <c r="H212" s="27">
        <f>$G212+$E212</f>
        <v>140</v>
      </c>
      <c r="I212" s="28">
        <f>WORKDAY(Settings!$D$10,INT($G212/HoursPerDay)+1,Holidays)</f>
        <v>46246</v>
      </c>
      <c r="J212" s="28">
        <f>IF($E212=0,$I212,WORKDAY(Settings!$D$10,ROUNDUP($H212/HoursPerDay,0),Holidays))</f>
        <v>46246</v>
      </c>
    </row>
    <row r="213" spans="1:10" x14ac:dyDescent="0.25">
      <c r="A213" s="22" t="s">
        <v>9</v>
      </c>
      <c r="B213" s="22" t="s">
        <v>315</v>
      </c>
      <c r="C213" s="22" t="s">
        <v>316</v>
      </c>
      <c r="D213" s="22" t="s">
        <v>48</v>
      </c>
      <c r="E213" s="23">
        <f>SUMIF($D214:$D217,"Task",$E214:$E217)</f>
        <v>7</v>
      </c>
      <c r="F213" s="22"/>
      <c r="G213" s="23"/>
      <c r="H213" s="23"/>
      <c r="I213" s="24">
        <f>MIN($I214:$I217)</f>
        <v>46241</v>
      </c>
      <c r="J213" s="24">
        <f>MAX($J214:$J217)</f>
        <v>46247</v>
      </c>
    </row>
    <row r="214" spans="1:10" x14ac:dyDescent="0.25">
      <c r="A214" s="25" t="s">
        <v>9</v>
      </c>
      <c r="B214" s="25" t="s">
        <v>317</v>
      </c>
      <c r="C214" s="25" t="s">
        <v>50</v>
      </c>
      <c r="D214" s="25" t="s">
        <v>51</v>
      </c>
      <c r="E214" s="26">
        <v>1</v>
      </c>
      <c r="F214" s="25" t="s">
        <v>52</v>
      </c>
      <c r="G214" s="27">
        <f>$H$210</f>
        <v>131</v>
      </c>
      <c r="H214" s="27">
        <f>$G214+$E214</f>
        <v>132</v>
      </c>
      <c r="I214" s="28">
        <f>WORKDAY(Settings!$D$10,INT($G214/HoursPerDay)+1,Holidays)</f>
        <v>46245</v>
      </c>
      <c r="J214" s="28">
        <f>IF($E214=0,$I214,WORKDAY(Settings!$D$10,ROUNDUP($H214/HoursPerDay,0),Holidays))</f>
        <v>46245</v>
      </c>
    </row>
    <row r="215" spans="1:10" x14ac:dyDescent="0.25">
      <c r="A215" s="25" t="s">
        <v>9</v>
      </c>
      <c r="B215" s="25" t="s">
        <v>318</v>
      </c>
      <c r="C215" s="25" t="s">
        <v>54</v>
      </c>
      <c r="D215" s="25" t="s">
        <v>51</v>
      </c>
      <c r="E215" s="26">
        <v>2</v>
      </c>
      <c r="F215" s="25" t="s">
        <v>52</v>
      </c>
      <c r="G215" s="27">
        <f>$H$214</f>
        <v>132</v>
      </c>
      <c r="H215" s="27">
        <f>$G215+$E215</f>
        <v>134</v>
      </c>
      <c r="I215" s="28">
        <f>WORKDAY(Settings!$D$10,INT($G215/HoursPerDay)+1,Holidays)</f>
        <v>46245</v>
      </c>
      <c r="J215" s="28">
        <f>IF($E215=0,$I215,WORKDAY(Settings!$D$10,ROUNDUP($H215/HoursPerDay,0),Holidays))</f>
        <v>46246</v>
      </c>
    </row>
    <row r="216" spans="1:10" x14ac:dyDescent="0.25">
      <c r="A216" s="25" t="s">
        <v>9</v>
      </c>
      <c r="B216" s="25" t="s">
        <v>319</v>
      </c>
      <c r="C216" s="25" t="s">
        <v>59</v>
      </c>
      <c r="D216" s="25" t="s">
        <v>51</v>
      </c>
      <c r="E216" s="26">
        <v>2</v>
      </c>
      <c r="F216" s="25" t="s">
        <v>60</v>
      </c>
      <c r="G216" s="27">
        <f>$H$211</f>
        <v>116</v>
      </c>
      <c r="H216" s="27">
        <f>$G216+$E216</f>
        <v>118</v>
      </c>
      <c r="I216" s="28">
        <f>WORKDAY(Settings!$D$10,INT($G216/HoursPerDay)+1,Holidays)</f>
        <v>46241</v>
      </c>
      <c r="J216" s="28">
        <f>IF($E216=0,$I216,WORKDAY(Settings!$D$10,ROUNDUP($H216/HoursPerDay,0),Holidays))</f>
        <v>46241</v>
      </c>
    </row>
    <row r="217" spans="1:10" x14ac:dyDescent="0.25">
      <c r="A217" s="25" t="s">
        <v>9</v>
      </c>
      <c r="B217" s="25" t="s">
        <v>319</v>
      </c>
      <c r="C217" s="25" t="s">
        <v>56</v>
      </c>
      <c r="D217" s="25" t="s">
        <v>51</v>
      </c>
      <c r="E217" s="26">
        <v>2</v>
      </c>
      <c r="F217" s="25" t="s">
        <v>57</v>
      </c>
      <c r="G217" s="27">
        <f>$H$212</f>
        <v>140</v>
      </c>
      <c r="H217" s="27">
        <f>$G217+$E217</f>
        <v>142</v>
      </c>
      <c r="I217" s="28">
        <f>WORKDAY(Settings!$D$10,INT($G217/HoursPerDay)+1,Holidays)</f>
        <v>46247</v>
      </c>
      <c r="J217" s="28">
        <f>IF($E217=0,$I217,WORKDAY(Settings!$D$10,ROUNDUP($H217/HoursPerDay,0),Holidays))</f>
        <v>46247</v>
      </c>
    </row>
    <row r="218" spans="1:10" x14ac:dyDescent="0.25">
      <c r="A218" s="22" t="s">
        <v>9</v>
      </c>
      <c r="B218" s="22" t="s">
        <v>320</v>
      </c>
      <c r="C218" s="22" t="s">
        <v>321</v>
      </c>
      <c r="D218" s="22" t="s">
        <v>48</v>
      </c>
      <c r="E218" s="23">
        <f>SUMIF($D219:$D222,"Task",$E219:$E222)</f>
        <v>20</v>
      </c>
      <c r="F218" s="22"/>
      <c r="G218" s="23"/>
      <c r="H218" s="23"/>
      <c r="I218" s="24">
        <f>MIN($I219:$I222)</f>
        <v>46241</v>
      </c>
      <c r="J218" s="24">
        <f>MAX($J219:$J222)</f>
        <v>46247</v>
      </c>
    </row>
    <row r="219" spans="1:10" x14ac:dyDescent="0.25">
      <c r="A219" s="25" t="s">
        <v>9</v>
      </c>
      <c r="B219" s="25" t="s">
        <v>322</v>
      </c>
      <c r="C219" s="25" t="s">
        <v>50</v>
      </c>
      <c r="D219" s="25" t="s">
        <v>51</v>
      </c>
      <c r="E219" s="26">
        <v>4</v>
      </c>
      <c r="F219" s="25" t="s">
        <v>52</v>
      </c>
      <c r="G219" s="27">
        <f>$H$215</f>
        <v>134</v>
      </c>
      <c r="H219" s="27">
        <f>$G219+$E219</f>
        <v>138</v>
      </c>
      <c r="I219" s="28">
        <f>WORKDAY(Settings!$D$10,INT($G219/HoursPerDay)+1,Holidays)</f>
        <v>46246</v>
      </c>
      <c r="J219" s="28">
        <f>IF($E219=0,$I219,WORKDAY(Settings!$D$10,ROUNDUP($H219/HoursPerDay,0),Holidays))</f>
        <v>46246</v>
      </c>
    </row>
    <row r="220" spans="1:10" x14ac:dyDescent="0.25">
      <c r="A220" s="25" t="s">
        <v>9</v>
      </c>
      <c r="B220" s="25" t="s">
        <v>323</v>
      </c>
      <c r="C220" s="25" t="s">
        <v>54</v>
      </c>
      <c r="D220" s="25" t="s">
        <v>51</v>
      </c>
      <c r="E220" s="26">
        <v>6</v>
      </c>
      <c r="F220" s="25" t="s">
        <v>52</v>
      </c>
      <c r="G220" s="27">
        <f>$H$219</f>
        <v>138</v>
      </c>
      <c r="H220" s="27">
        <f>$G220+$E220</f>
        <v>144</v>
      </c>
      <c r="I220" s="28">
        <f>WORKDAY(Settings!$D$10,INT($G220/HoursPerDay)+1,Holidays)</f>
        <v>46246</v>
      </c>
      <c r="J220" s="28">
        <f>IF($E220=0,$I220,WORKDAY(Settings!$D$10,ROUNDUP($H220/HoursPerDay,0),Holidays))</f>
        <v>46247</v>
      </c>
    </row>
    <row r="221" spans="1:10" x14ac:dyDescent="0.25">
      <c r="A221" s="25" t="s">
        <v>9</v>
      </c>
      <c r="B221" s="25" t="s">
        <v>324</v>
      </c>
      <c r="C221" s="25" t="s">
        <v>59</v>
      </c>
      <c r="D221" s="25" t="s">
        <v>51</v>
      </c>
      <c r="E221" s="26">
        <v>5</v>
      </c>
      <c r="F221" s="25" t="s">
        <v>60</v>
      </c>
      <c r="G221" s="27">
        <f>$H$216</f>
        <v>118</v>
      </c>
      <c r="H221" s="27">
        <f>$G221+$E221</f>
        <v>123</v>
      </c>
      <c r="I221" s="28">
        <f>WORKDAY(Settings!$D$10,INT($G221/HoursPerDay)+1,Holidays)</f>
        <v>46241</v>
      </c>
      <c r="J221" s="28">
        <f>IF($E221=0,$I221,WORKDAY(Settings!$D$10,ROUNDUP($H221/HoursPerDay,0),Holidays))</f>
        <v>46244</v>
      </c>
    </row>
    <row r="222" spans="1:10" x14ac:dyDescent="0.25">
      <c r="A222" s="25" t="s">
        <v>9</v>
      </c>
      <c r="B222" s="25" t="s">
        <v>324</v>
      </c>
      <c r="C222" s="25" t="s">
        <v>56</v>
      </c>
      <c r="D222" s="25" t="s">
        <v>51</v>
      </c>
      <c r="E222" s="26">
        <v>5</v>
      </c>
      <c r="F222" s="25" t="s">
        <v>57</v>
      </c>
      <c r="G222" s="27">
        <f>$H$217</f>
        <v>142</v>
      </c>
      <c r="H222" s="27">
        <f>$G222+$E222</f>
        <v>147</v>
      </c>
      <c r="I222" s="28">
        <f>WORKDAY(Settings!$D$10,INT($G222/HoursPerDay)+1,Holidays)</f>
        <v>46247</v>
      </c>
      <c r="J222" s="28">
        <f>IF($E222=0,$I222,WORKDAY(Settings!$D$10,ROUNDUP($H222/HoursPerDay,0),Holidays))</f>
        <v>46247</v>
      </c>
    </row>
    <row r="223" spans="1:10" x14ac:dyDescent="0.25">
      <c r="A223" s="16" t="s">
        <v>10</v>
      </c>
      <c r="B223" s="16" t="s">
        <v>40</v>
      </c>
      <c r="C223" s="16" t="s">
        <v>325</v>
      </c>
      <c r="D223" s="16" t="s">
        <v>42</v>
      </c>
      <c r="E223" s="17">
        <f>SUMIF($D224:$D432,"Task",$E224:$E432)</f>
        <v>400</v>
      </c>
      <c r="F223" s="16"/>
      <c r="G223" s="17"/>
      <c r="H223" s="17"/>
      <c r="I223" s="18">
        <f>MIN($I224:$I432)</f>
        <v>46260</v>
      </c>
      <c r="J223" s="18">
        <f>MAX($J224:$J432)</f>
        <v>46281</v>
      </c>
    </row>
    <row r="224" spans="1:10" x14ac:dyDescent="0.25">
      <c r="A224" s="19" t="s">
        <v>10</v>
      </c>
      <c r="B224" s="19" t="s">
        <v>43</v>
      </c>
      <c r="C224" s="19" t="s">
        <v>326</v>
      </c>
      <c r="D224" s="19" t="s">
        <v>45</v>
      </c>
      <c r="E224" s="20">
        <f>SUMIF($D225:$D244,"Task",$E225:$E244)</f>
        <v>48</v>
      </c>
      <c r="F224" s="19"/>
      <c r="G224" s="20"/>
      <c r="H224" s="20"/>
      <c r="I224" s="21">
        <f>MIN($I225:$I244)</f>
        <v>46260</v>
      </c>
      <c r="J224" s="21">
        <f>MAX($J225:$J244)</f>
        <v>46266</v>
      </c>
    </row>
    <row r="225" spans="1:10" x14ac:dyDescent="0.25">
      <c r="A225" s="22" t="s">
        <v>10</v>
      </c>
      <c r="B225" s="22" t="s">
        <v>46</v>
      </c>
      <c r="C225" s="22" t="s">
        <v>327</v>
      </c>
      <c r="D225" s="22" t="s">
        <v>48</v>
      </c>
      <c r="E225" s="23">
        <f>SUMIF($D226:$D229,"Task",$E226:$E229)</f>
        <v>12</v>
      </c>
      <c r="F225" s="22"/>
      <c r="G225" s="23"/>
      <c r="H225" s="23"/>
      <c r="I225" s="24">
        <f>MIN($I226:$I229)</f>
        <v>46260</v>
      </c>
      <c r="J225" s="24">
        <f>MAX($J226:$J229)</f>
        <v>46261</v>
      </c>
    </row>
    <row r="226" spans="1:10" x14ac:dyDescent="0.25">
      <c r="A226" s="25" t="s">
        <v>10</v>
      </c>
      <c r="B226" s="25" t="s">
        <v>49</v>
      </c>
      <c r="C226" s="25" t="s">
        <v>50</v>
      </c>
      <c r="D226" s="25" t="s">
        <v>51</v>
      </c>
      <c r="E226" s="26">
        <v>2</v>
      </c>
      <c r="F226" s="25" t="s">
        <v>78</v>
      </c>
      <c r="G226" s="27">
        <f>0</f>
        <v>0</v>
      </c>
      <c r="H226" s="27">
        <f>$G226+$E226</f>
        <v>2</v>
      </c>
      <c r="I226" s="28">
        <f>WORKDAY(Settings!$D$11,INT($G226/HoursPerDay)+1,Holidays)</f>
        <v>46260</v>
      </c>
      <c r="J226" s="28">
        <f>IF($E226=0,$I226,WORKDAY(Settings!$D$11,ROUNDUP($H226/HoursPerDay,0),Holidays))</f>
        <v>46260</v>
      </c>
    </row>
    <row r="227" spans="1:10" x14ac:dyDescent="0.25">
      <c r="A227" s="25" t="s">
        <v>10</v>
      </c>
      <c r="B227" s="25" t="s">
        <v>53</v>
      </c>
      <c r="C227" s="25" t="s">
        <v>54</v>
      </c>
      <c r="D227" s="25" t="s">
        <v>51</v>
      </c>
      <c r="E227" s="26">
        <v>3</v>
      </c>
      <c r="F227" s="25" t="s">
        <v>78</v>
      </c>
      <c r="G227" s="27">
        <f>$H$226</f>
        <v>2</v>
      </c>
      <c r="H227" s="27">
        <f>$G227+$E227</f>
        <v>5</v>
      </c>
      <c r="I227" s="28">
        <f>WORKDAY(Settings!$D$11,INT($G227/HoursPerDay)+1,Holidays)</f>
        <v>46260</v>
      </c>
      <c r="J227" s="28">
        <f>IF($E227=0,$I227,WORKDAY(Settings!$D$11,ROUNDUP($H227/HoursPerDay,0),Holidays))</f>
        <v>46260</v>
      </c>
    </row>
    <row r="228" spans="1:10" x14ac:dyDescent="0.25">
      <c r="A228" s="25" t="s">
        <v>10</v>
      </c>
      <c r="B228" s="25" t="s">
        <v>55</v>
      </c>
      <c r="C228" s="25" t="s">
        <v>56</v>
      </c>
      <c r="D228" s="25" t="s">
        <v>51</v>
      </c>
      <c r="E228" s="26">
        <v>3</v>
      </c>
      <c r="F228" s="25" t="s">
        <v>78</v>
      </c>
      <c r="G228" s="27">
        <f>$H$227</f>
        <v>5</v>
      </c>
      <c r="H228" s="27">
        <f>$G228+$E228</f>
        <v>8</v>
      </c>
      <c r="I228" s="28">
        <f>WORKDAY(Settings!$D$11,INT($G228/HoursPerDay)+1,Holidays)</f>
        <v>46260</v>
      </c>
      <c r="J228" s="28">
        <f>IF($E228=0,$I228,WORKDAY(Settings!$D$11,ROUNDUP($H228/HoursPerDay,0),Holidays))</f>
        <v>46261</v>
      </c>
    </row>
    <row r="229" spans="1:10" x14ac:dyDescent="0.25">
      <c r="A229" s="25" t="s">
        <v>10</v>
      </c>
      <c r="B229" s="25" t="s">
        <v>58</v>
      </c>
      <c r="C229" s="25" t="s">
        <v>59</v>
      </c>
      <c r="D229" s="25" t="s">
        <v>51</v>
      </c>
      <c r="E229" s="26">
        <v>4</v>
      </c>
      <c r="F229" s="25" t="s">
        <v>60</v>
      </c>
      <c r="G229" s="27">
        <f>0</f>
        <v>0</v>
      </c>
      <c r="H229" s="27">
        <f>$G229+$E229</f>
        <v>4</v>
      </c>
      <c r="I229" s="28">
        <f>WORKDAY(Settings!$D$11,INT($G229/HoursPerDay)+1,Holidays)</f>
        <v>46260</v>
      </c>
      <c r="J229" s="28">
        <f>IF($E229=0,$I229,WORKDAY(Settings!$D$11,ROUNDUP($H229/HoursPerDay,0),Holidays))</f>
        <v>46260</v>
      </c>
    </row>
    <row r="230" spans="1:10" x14ac:dyDescent="0.25">
      <c r="A230" s="22" t="s">
        <v>10</v>
      </c>
      <c r="B230" s="22" t="s">
        <v>61</v>
      </c>
      <c r="C230" s="22" t="s">
        <v>328</v>
      </c>
      <c r="D230" s="22" t="s">
        <v>48</v>
      </c>
      <c r="E230" s="23">
        <f>SUMIF($D231:$D234,"Task",$E231:$E234)</f>
        <v>12</v>
      </c>
      <c r="F230" s="22"/>
      <c r="G230" s="23"/>
      <c r="H230" s="23"/>
      <c r="I230" s="24">
        <f>MIN($I231:$I234)</f>
        <v>46260</v>
      </c>
      <c r="J230" s="24">
        <f>MAX($J231:$J234)</f>
        <v>46262</v>
      </c>
    </row>
    <row r="231" spans="1:10" x14ac:dyDescent="0.25">
      <c r="A231" s="25" t="s">
        <v>10</v>
      </c>
      <c r="B231" s="25" t="s">
        <v>49</v>
      </c>
      <c r="C231" s="25" t="s">
        <v>50</v>
      </c>
      <c r="D231" s="25" t="s">
        <v>51</v>
      </c>
      <c r="E231" s="26">
        <v>2</v>
      </c>
      <c r="F231" s="25" t="s">
        <v>78</v>
      </c>
      <c r="G231" s="27">
        <f>$H$228</f>
        <v>8</v>
      </c>
      <c r="H231" s="27">
        <f>$G231+$E231</f>
        <v>10</v>
      </c>
      <c r="I231" s="28">
        <f>WORKDAY(Settings!$D$11,INT($G231/HoursPerDay)+1,Holidays)</f>
        <v>46261</v>
      </c>
      <c r="J231" s="28">
        <f>IF($E231=0,$I231,WORKDAY(Settings!$D$11,ROUNDUP($H231/HoursPerDay,0),Holidays))</f>
        <v>46261</v>
      </c>
    </row>
    <row r="232" spans="1:10" x14ac:dyDescent="0.25">
      <c r="A232" s="25" t="s">
        <v>10</v>
      </c>
      <c r="B232" s="25" t="s">
        <v>63</v>
      </c>
      <c r="C232" s="25" t="s">
        <v>54</v>
      </c>
      <c r="D232" s="25" t="s">
        <v>51</v>
      </c>
      <c r="E232" s="26">
        <v>3</v>
      </c>
      <c r="F232" s="25" t="s">
        <v>78</v>
      </c>
      <c r="G232" s="27">
        <f>$H$231</f>
        <v>10</v>
      </c>
      <c r="H232" s="27">
        <f>$G232+$E232</f>
        <v>13</v>
      </c>
      <c r="I232" s="28">
        <f>WORKDAY(Settings!$D$11,INT($G232/HoursPerDay)+1,Holidays)</f>
        <v>46261</v>
      </c>
      <c r="J232" s="28">
        <f>IF($E232=0,$I232,WORKDAY(Settings!$D$11,ROUNDUP($H232/HoursPerDay,0),Holidays))</f>
        <v>46261</v>
      </c>
    </row>
    <row r="233" spans="1:10" x14ac:dyDescent="0.25">
      <c r="A233" s="25" t="s">
        <v>10</v>
      </c>
      <c r="B233" s="25" t="s">
        <v>64</v>
      </c>
      <c r="C233" s="25" t="s">
        <v>56</v>
      </c>
      <c r="D233" s="25" t="s">
        <v>51</v>
      </c>
      <c r="E233" s="26">
        <v>3</v>
      </c>
      <c r="F233" s="25" t="s">
        <v>78</v>
      </c>
      <c r="G233" s="27">
        <f>$H$232</f>
        <v>13</v>
      </c>
      <c r="H233" s="27">
        <f>$G233+$E233</f>
        <v>16</v>
      </c>
      <c r="I233" s="28">
        <f>WORKDAY(Settings!$D$11,INT($G233/HoursPerDay)+1,Holidays)</f>
        <v>46261</v>
      </c>
      <c r="J233" s="28">
        <f>IF($E233=0,$I233,WORKDAY(Settings!$D$11,ROUNDUP($H233/HoursPerDay,0),Holidays))</f>
        <v>46262</v>
      </c>
    </row>
    <row r="234" spans="1:10" x14ac:dyDescent="0.25">
      <c r="A234" s="25" t="s">
        <v>10</v>
      </c>
      <c r="B234" s="25" t="s">
        <v>65</v>
      </c>
      <c r="C234" s="25" t="s">
        <v>59</v>
      </c>
      <c r="D234" s="25" t="s">
        <v>51</v>
      </c>
      <c r="E234" s="26">
        <v>4</v>
      </c>
      <c r="F234" s="25" t="s">
        <v>60</v>
      </c>
      <c r="G234" s="27">
        <f>$H$229</f>
        <v>4</v>
      </c>
      <c r="H234" s="27">
        <f>$G234+$E234</f>
        <v>8</v>
      </c>
      <c r="I234" s="28">
        <f>WORKDAY(Settings!$D$11,INT($G234/HoursPerDay)+1,Holidays)</f>
        <v>46260</v>
      </c>
      <c r="J234" s="28">
        <f>IF($E234=0,$I234,WORKDAY(Settings!$D$11,ROUNDUP($H234/HoursPerDay,0),Holidays))</f>
        <v>46261</v>
      </c>
    </row>
    <row r="235" spans="1:10" x14ac:dyDescent="0.25">
      <c r="A235" s="22" t="s">
        <v>10</v>
      </c>
      <c r="B235" s="22" t="s">
        <v>67</v>
      </c>
      <c r="C235" s="22" t="s">
        <v>329</v>
      </c>
      <c r="D235" s="22" t="s">
        <v>48</v>
      </c>
      <c r="E235" s="23">
        <f>SUMIF($D236:$D239,"Task",$E236:$E239)</f>
        <v>12</v>
      </c>
      <c r="F235" s="22"/>
      <c r="G235" s="23"/>
      <c r="H235" s="23"/>
      <c r="I235" s="24">
        <f>MIN($I236:$I239)</f>
        <v>46261</v>
      </c>
      <c r="J235" s="24">
        <f>MAX($J236:$J239)</f>
        <v>46265</v>
      </c>
    </row>
    <row r="236" spans="1:10" x14ac:dyDescent="0.25">
      <c r="A236" s="25" t="s">
        <v>10</v>
      </c>
      <c r="B236" s="25" t="s">
        <v>49</v>
      </c>
      <c r="C236" s="25" t="s">
        <v>50</v>
      </c>
      <c r="D236" s="25" t="s">
        <v>51</v>
      </c>
      <c r="E236" s="26">
        <v>2</v>
      </c>
      <c r="F236" s="25" t="s">
        <v>78</v>
      </c>
      <c r="G236" s="27">
        <f>$H$233</f>
        <v>16</v>
      </c>
      <c r="H236" s="27">
        <f>$G236+$E236</f>
        <v>18</v>
      </c>
      <c r="I236" s="28">
        <f>WORKDAY(Settings!$D$11,INT($G236/HoursPerDay)+1,Holidays)</f>
        <v>46262</v>
      </c>
      <c r="J236" s="28">
        <f>IF($E236=0,$I236,WORKDAY(Settings!$D$11,ROUNDUP($H236/HoursPerDay,0),Holidays))</f>
        <v>46262</v>
      </c>
    </row>
    <row r="237" spans="1:10" x14ac:dyDescent="0.25">
      <c r="A237" s="25" t="s">
        <v>10</v>
      </c>
      <c r="B237" s="25" t="s">
        <v>69</v>
      </c>
      <c r="C237" s="25" t="s">
        <v>54</v>
      </c>
      <c r="D237" s="25" t="s">
        <v>51</v>
      </c>
      <c r="E237" s="26">
        <v>3</v>
      </c>
      <c r="F237" s="25" t="s">
        <v>78</v>
      </c>
      <c r="G237" s="27">
        <f>$H$236</f>
        <v>18</v>
      </c>
      <c r="H237" s="27">
        <f>$G237+$E237</f>
        <v>21</v>
      </c>
      <c r="I237" s="28">
        <f>WORKDAY(Settings!$D$11,INT($G237/HoursPerDay)+1,Holidays)</f>
        <v>46262</v>
      </c>
      <c r="J237" s="28">
        <f>IF($E237=0,$I237,WORKDAY(Settings!$D$11,ROUNDUP($H237/HoursPerDay,0),Holidays))</f>
        <v>46262</v>
      </c>
    </row>
    <row r="238" spans="1:10" x14ac:dyDescent="0.25">
      <c r="A238" s="25" t="s">
        <v>10</v>
      </c>
      <c r="B238" s="25" t="s">
        <v>70</v>
      </c>
      <c r="C238" s="25" t="s">
        <v>56</v>
      </c>
      <c r="D238" s="25" t="s">
        <v>51</v>
      </c>
      <c r="E238" s="26">
        <v>3</v>
      </c>
      <c r="F238" s="25" t="s">
        <v>78</v>
      </c>
      <c r="G238" s="27">
        <f>$H$237</f>
        <v>21</v>
      </c>
      <c r="H238" s="27">
        <f>$G238+$E238</f>
        <v>24</v>
      </c>
      <c r="I238" s="28">
        <f>WORKDAY(Settings!$D$11,INT($G238/HoursPerDay)+1,Holidays)</f>
        <v>46265</v>
      </c>
      <c r="J238" s="28">
        <f>IF($E238=0,$I238,WORKDAY(Settings!$D$11,ROUNDUP($H238/HoursPerDay,0),Holidays))</f>
        <v>46265</v>
      </c>
    </row>
    <row r="239" spans="1:10" x14ac:dyDescent="0.25">
      <c r="A239" s="25" t="s">
        <v>10</v>
      </c>
      <c r="B239" s="25" t="s">
        <v>71</v>
      </c>
      <c r="C239" s="25" t="s">
        <v>59</v>
      </c>
      <c r="D239" s="25" t="s">
        <v>51</v>
      </c>
      <c r="E239" s="26">
        <v>4</v>
      </c>
      <c r="F239" s="25" t="s">
        <v>60</v>
      </c>
      <c r="G239" s="27">
        <f>$H$234</f>
        <v>8</v>
      </c>
      <c r="H239" s="27">
        <f>$G239+$E239</f>
        <v>12</v>
      </c>
      <c r="I239" s="28">
        <f>WORKDAY(Settings!$D$11,INT($G239/HoursPerDay)+1,Holidays)</f>
        <v>46261</v>
      </c>
      <c r="J239" s="28">
        <f>IF($E239=0,$I239,WORKDAY(Settings!$D$11,ROUNDUP($H239/HoursPerDay,0),Holidays))</f>
        <v>46261</v>
      </c>
    </row>
    <row r="240" spans="1:10" x14ac:dyDescent="0.25">
      <c r="A240" s="22" t="s">
        <v>10</v>
      </c>
      <c r="B240" s="22" t="s">
        <v>330</v>
      </c>
      <c r="C240" s="22" t="s">
        <v>331</v>
      </c>
      <c r="D240" s="22" t="s">
        <v>48</v>
      </c>
      <c r="E240" s="23">
        <f>SUMIF($D241:$D244,"Task",$E241:$E244)</f>
        <v>12</v>
      </c>
      <c r="F240" s="22"/>
      <c r="G240" s="23"/>
      <c r="H240" s="23"/>
      <c r="I240" s="24">
        <f>MIN($I241:$I244)</f>
        <v>46261</v>
      </c>
      <c r="J240" s="24">
        <f>MAX($J241:$J244)</f>
        <v>46266</v>
      </c>
    </row>
    <row r="241" spans="1:10" x14ac:dyDescent="0.25">
      <c r="A241" s="25" t="s">
        <v>10</v>
      </c>
      <c r="B241" s="25" t="s">
        <v>49</v>
      </c>
      <c r="C241" s="25" t="s">
        <v>50</v>
      </c>
      <c r="D241" s="25" t="s">
        <v>51</v>
      </c>
      <c r="E241" s="26">
        <v>2</v>
      </c>
      <c r="F241" s="25" t="s">
        <v>78</v>
      </c>
      <c r="G241" s="27">
        <f>$H$238</f>
        <v>24</v>
      </c>
      <c r="H241" s="27">
        <f>$G241+$E241</f>
        <v>26</v>
      </c>
      <c r="I241" s="28">
        <f>WORKDAY(Settings!$D$11,INT($G241/HoursPerDay)+1,Holidays)</f>
        <v>46265</v>
      </c>
      <c r="J241" s="28">
        <f>IF($E241=0,$I241,WORKDAY(Settings!$D$11,ROUNDUP($H241/HoursPerDay,0),Holidays))</f>
        <v>46265</v>
      </c>
    </row>
    <row r="242" spans="1:10" x14ac:dyDescent="0.25">
      <c r="A242" s="25" t="s">
        <v>10</v>
      </c>
      <c r="B242" s="25" t="s">
        <v>332</v>
      </c>
      <c r="C242" s="25" t="s">
        <v>54</v>
      </c>
      <c r="D242" s="25" t="s">
        <v>51</v>
      </c>
      <c r="E242" s="26">
        <v>3</v>
      </c>
      <c r="F242" s="25" t="s">
        <v>78</v>
      </c>
      <c r="G242" s="27">
        <f>$H$241</f>
        <v>26</v>
      </c>
      <c r="H242" s="27">
        <f>$G242+$E242</f>
        <v>29</v>
      </c>
      <c r="I242" s="28">
        <f>WORKDAY(Settings!$D$11,INT($G242/HoursPerDay)+1,Holidays)</f>
        <v>46265</v>
      </c>
      <c r="J242" s="28">
        <f>IF($E242=0,$I242,WORKDAY(Settings!$D$11,ROUNDUP($H242/HoursPerDay,0),Holidays))</f>
        <v>46266</v>
      </c>
    </row>
    <row r="243" spans="1:10" x14ac:dyDescent="0.25">
      <c r="A243" s="25" t="s">
        <v>10</v>
      </c>
      <c r="B243" s="25" t="s">
        <v>333</v>
      </c>
      <c r="C243" s="25" t="s">
        <v>56</v>
      </c>
      <c r="D243" s="25" t="s">
        <v>51</v>
      </c>
      <c r="E243" s="26">
        <v>3</v>
      </c>
      <c r="F243" s="25" t="s">
        <v>78</v>
      </c>
      <c r="G243" s="27">
        <f>$H$242</f>
        <v>29</v>
      </c>
      <c r="H243" s="27">
        <f>$G243+$E243</f>
        <v>32</v>
      </c>
      <c r="I243" s="28">
        <f>WORKDAY(Settings!$D$11,INT($G243/HoursPerDay)+1,Holidays)</f>
        <v>46266</v>
      </c>
      <c r="J243" s="28">
        <f>IF($E243=0,$I243,WORKDAY(Settings!$D$11,ROUNDUP($H243/HoursPerDay,0),Holidays))</f>
        <v>46266</v>
      </c>
    </row>
    <row r="244" spans="1:10" x14ac:dyDescent="0.25">
      <c r="A244" s="25" t="s">
        <v>10</v>
      </c>
      <c r="B244" s="25" t="s">
        <v>334</v>
      </c>
      <c r="C244" s="25" t="s">
        <v>59</v>
      </c>
      <c r="D244" s="25" t="s">
        <v>51</v>
      </c>
      <c r="E244" s="26">
        <v>4</v>
      </c>
      <c r="F244" s="25" t="s">
        <v>60</v>
      </c>
      <c r="G244" s="27">
        <f>$H$239</f>
        <v>12</v>
      </c>
      <c r="H244" s="27">
        <f>$G244+$E244</f>
        <v>16</v>
      </c>
      <c r="I244" s="28">
        <f>WORKDAY(Settings!$D$11,INT($G244/HoursPerDay)+1,Holidays)</f>
        <v>46261</v>
      </c>
      <c r="J244" s="28">
        <f>IF($E244=0,$I244,WORKDAY(Settings!$D$11,ROUNDUP($H244/HoursPerDay,0),Holidays))</f>
        <v>46262</v>
      </c>
    </row>
    <row r="245" spans="1:10" x14ac:dyDescent="0.25">
      <c r="A245" s="19" t="s">
        <v>10</v>
      </c>
      <c r="B245" s="19" t="s">
        <v>73</v>
      </c>
      <c r="C245" s="19" t="s">
        <v>335</v>
      </c>
      <c r="D245" s="19" t="s">
        <v>45</v>
      </c>
      <c r="E245" s="20">
        <f>SUMIF($D246:$D278,"Task",$E246:$E278)</f>
        <v>53</v>
      </c>
      <c r="F245" s="19"/>
      <c r="G245" s="20"/>
      <c r="H245" s="20"/>
      <c r="I245" s="21">
        <f>MIN($I246:$I278)</f>
        <v>46260</v>
      </c>
      <c r="J245" s="21">
        <f>MAX($J246:$J278)</f>
        <v>46266</v>
      </c>
    </row>
    <row r="246" spans="1:10" x14ac:dyDescent="0.25">
      <c r="A246" s="22" t="s">
        <v>10</v>
      </c>
      <c r="B246" s="22" t="s">
        <v>75</v>
      </c>
      <c r="C246" s="22" t="s">
        <v>336</v>
      </c>
      <c r="D246" s="22" t="s">
        <v>48</v>
      </c>
      <c r="E246" s="23">
        <f>SUMIF($D247:$D250,"Task",$E247:$E250)</f>
        <v>14</v>
      </c>
      <c r="F246" s="22"/>
      <c r="G246" s="23"/>
      <c r="H246" s="23"/>
      <c r="I246" s="24">
        <f>MIN($I247:$I250)</f>
        <v>46260</v>
      </c>
      <c r="J246" s="24">
        <f>MAX($J247:$J250)</f>
        <v>46266</v>
      </c>
    </row>
    <row r="247" spans="1:10" x14ac:dyDescent="0.25">
      <c r="A247" s="25" t="s">
        <v>10</v>
      </c>
      <c r="B247" s="25" t="s">
        <v>77</v>
      </c>
      <c r="C247" s="25" t="s">
        <v>50</v>
      </c>
      <c r="D247" s="25" t="s">
        <v>51</v>
      </c>
      <c r="E247" s="26">
        <v>2</v>
      </c>
      <c r="F247" s="25" t="s">
        <v>78</v>
      </c>
      <c r="G247" s="27">
        <f>$H$243</f>
        <v>32</v>
      </c>
      <c r="H247" s="27">
        <f>$G247+$E247</f>
        <v>34</v>
      </c>
      <c r="I247" s="28">
        <f>WORKDAY(Settings!$D$11,INT($G247/HoursPerDay)+1,Holidays)</f>
        <v>46266</v>
      </c>
      <c r="J247" s="28">
        <f>IF($E247=0,$I247,WORKDAY(Settings!$D$11,ROUNDUP($H247/HoursPerDay,0),Holidays))</f>
        <v>46266</v>
      </c>
    </row>
    <row r="248" spans="1:10" x14ac:dyDescent="0.25">
      <c r="A248" s="25" t="s">
        <v>10</v>
      </c>
      <c r="B248" s="25" t="s">
        <v>79</v>
      </c>
      <c r="C248" s="25" t="s">
        <v>54</v>
      </c>
      <c r="D248" s="25" t="s">
        <v>51</v>
      </c>
      <c r="E248" s="26">
        <v>4</v>
      </c>
      <c r="F248" s="25" t="s">
        <v>52</v>
      </c>
      <c r="G248" s="27">
        <f>0</f>
        <v>0</v>
      </c>
      <c r="H248" s="27">
        <f>$G248+$E248</f>
        <v>4</v>
      </c>
      <c r="I248" s="28">
        <f>WORKDAY(Settings!$D$11,INT($G248/HoursPerDay)+1,Holidays)</f>
        <v>46260</v>
      </c>
      <c r="J248" s="28">
        <f>IF($E248=0,$I248,WORKDAY(Settings!$D$11,ROUNDUP($H248/HoursPerDay,0),Holidays))</f>
        <v>46260</v>
      </c>
    </row>
    <row r="249" spans="1:10" x14ac:dyDescent="0.25">
      <c r="A249" s="25" t="s">
        <v>10</v>
      </c>
      <c r="B249" s="25" t="s">
        <v>80</v>
      </c>
      <c r="C249" s="25" t="s">
        <v>56</v>
      </c>
      <c r="D249" s="25" t="s">
        <v>51</v>
      </c>
      <c r="E249" s="26">
        <v>4</v>
      </c>
      <c r="F249" s="25" t="s">
        <v>57</v>
      </c>
      <c r="G249" s="27">
        <f>0</f>
        <v>0</v>
      </c>
      <c r="H249" s="27">
        <f>$G249+$E249</f>
        <v>4</v>
      </c>
      <c r="I249" s="28">
        <f>WORKDAY(Settings!$D$11,INT($G249/HoursPerDay)+1,Holidays)</f>
        <v>46260</v>
      </c>
      <c r="J249" s="28">
        <f>IF($E249=0,$I249,WORKDAY(Settings!$D$11,ROUNDUP($H249/HoursPerDay,0),Holidays))</f>
        <v>46260</v>
      </c>
    </row>
    <row r="250" spans="1:10" x14ac:dyDescent="0.25">
      <c r="A250" s="25" t="s">
        <v>10</v>
      </c>
      <c r="B250" s="25" t="s">
        <v>81</v>
      </c>
      <c r="C250" s="25" t="s">
        <v>59</v>
      </c>
      <c r="D250" s="25" t="s">
        <v>51</v>
      </c>
      <c r="E250" s="26">
        <v>4</v>
      </c>
      <c r="F250" s="25" t="s">
        <v>60</v>
      </c>
      <c r="G250" s="27">
        <f>$H$244</f>
        <v>16</v>
      </c>
      <c r="H250" s="27">
        <f>$G250+$E250</f>
        <v>20</v>
      </c>
      <c r="I250" s="28">
        <f>WORKDAY(Settings!$D$11,INT($G250/HoursPerDay)+1,Holidays)</f>
        <v>46262</v>
      </c>
      <c r="J250" s="28">
        <f>IF($E250=0,$I250,WORKDAY(Settings!$D$11,ROUNDUP($H250/HoursPerDay,0),Holidays))</f>
        <v>46262</v>
      </c>
    </row>
    <row r="251" spans="1:10" x14ac:dyDescent="0.25">
      <c r="A251" s="22" t="s">
        <v>10</v>
      </c>
      <c r="B251" s="22" t="s">
        <v>82</v>
      </c>
      <c r="C251" s="22" t="s">
        <v>337</v>
      </c>
      <c r="D251" s="22" t="s">
        <v>48</v>
      </c>
      <c r="E251" s="23">
        <f>SUMIF($D252:$D254,"Task",$E252:$E254)</f>
        <v>4</v>
      </c>
      <c r="F251" s="22"/>
      <c r="G251" s="23"/>
      <c r="H251" s="23"/>
      <c r="I251" s="24">
        <f>MIN($I252:$I254)</f>
        <v>46260</v>
      </c>
      <c r="J251" s="24">
        <f>MAX($J252:$J254)</f>
        <v>46262</v>
      </c>
    </row>
    <row r="252" spans="1:10" x14ac:dyDescent="0.25">
      <c r="A252" s="25" t="s">
        <v>10</v>
      </c>
      <c r="B252" s="25" t="s">
        <v>84</v>
      </c>
      <c r="C252" s="25" t="s">
        <v>54</v>
      </c>
      <c r="D252" s="25" t="s">
        <v>51</v>
      </c>
      <c r="E252" s="26">
        <v>2</v>
      </c>
      <c r="F252" s="25" t="s">
        <v>52</v>
      </c>
      <c r="G252" s="27">
        <f>$H$248</f>
        <v>4</v>
      </c>
      <c r="H252" s="27">
        <f>$G252+$E252</f>
        <v>6</v>
      </c>
      <c r="I252" s="28">
        <f>WORKDAY(Settings!$D$11,INT($G252/HoursPerDay)+1,Holidays)</f>
        <v>46260</v>
      </c>
      <c r="J252" s="28">
        <f>IF($E252=0,$I252,WORKDAY(Settings!$D$11,ROUNDUP($H252/HoursPerDay,0),Holidays))</f>
        <v>46260</v>
      </c>
    </row>
    <row r="253" spans="1:10" x14ac:dyDescent="0.25">
      <c r="A253" s="25" t="s">
        <v>10</v>
      </c>
      <c r="B253" s="25" t="s">
        <v>85</v>
      </c>
      <c r="C253" s="25" t="s">
        <v>56</v>
      </c>
      <c r="D253" s="25" t="s">
        <v>51</v>
      </c>
      <c r="E253" s="26">
        <v>1</v>
      </c>
      <c r="F253" s="25" t="s">
        <v>57</v>
      </c>
      <c r="G253" s="27">
        <f>$H$249</f>
        <v>4</v>
      </c>
      <c r="H253" s="27">
        <f>$G253+$E253</f>
        <v>5</v>
      </c>
      <c r="I253" s="28">
        <f>WORKDAY(Settings!$D$11,INT($G253/HoursPerDay)+1,Holidays)</f>
        <v>46260</v>
      </c>
      <c r="J253" s="28">
        <f>IF($E253=0,$I253,WORKDAY(Settings!$D$11,ROUNDUP($H253/HoursPerDay,0),Holidays))</f>
        <v>46260</v>
      </c>
    </row>
    <row r="254" spans="1:10" x14ac:dyDescent="0.25">
      <c r="A254" s="25" t="s">
        <v>10</v>
      </c>
      <c r="B254" s="25" t="s">
        <v>86</v>
      </c>
      <c r="C254" s="25" t="s">
        <v>59</v>
      </c>
      <c r="D254" s="25" t="s">
        <v>51</v>
      </c>
      <c r="E254" s="26">
        <v>1</v>
      </c>
      <c r="F254" s="25" t="s">
        <v>60</v>
      </c>
      <c r="G254" s="27">
        <f>$H$250</f>
        <v>20</v>
      </c>
      <c r="H254" s="27">
        <f>$G254+$E254</f>
        <v>21</v>
      </c>
      <c r="I254" s="28">
        <f>WORKDAY(Settings!$D$11,INT($G254/HoursPerDay)+1,Holidays)</f>
        <v>46262</v>
      </c>
      <c r="J254" s="28">
        <f>IF($E254=0,$I254,WORKDAY(Settings!$D$11,ROUNDUP($H254/HoursPerDay,0),Holidays))</f>
        <v>46262</v>
      </c>
    </row>
    <row r="255" spans="1:10" x14ac:dyDescent="0.25">
      <c r="A255" s="22" t="s">
        <v>10</v>
      </c>
      <c r="B255" s="22" t="s">
        <v>88</v>
      </c>
      <c r="C255" s="22" t="s">
        <v>338</v>
      </c>
      <c r="D255" s="22" t="s">
        <v>48</v>
      </c>
      <c r="E255" s="23">
        <f>SUMIF($D256:$D258,"Task",$E256:$E258)</f>
        <v>4</v>
      </c>
      <c r="F255" s="22"/>
      <c r="G255" s="23"/>
      <c r="H255" s="23"/>
      <c r="I255" s="24">
        <f>MIN($I256:$I258)</f>
        <v>46260</v>
      </c>
      <c r="J255" s="24">
        <f>MAX($J256:$J258)</f>
        <v>46265</v>
      </c>
    </row>
    <row r="256" spans="1:10" x14ac:dyDescent="0.25">
      <c r="A256" s="25" t="s">
        <v>10</v>
      </c>
      <c r="B256" s="25" t="s">
        <v>90</v>
      </c>
      <c r="C256" s="25" t="s">
        <v>54</v>
      </c>
      <c r="D256" s="25" t="s">
        <v>51</v>
      </c>
      <c r="E256" s="26">
        <v>2</v>
      </c>
      <c r="F256" s="25" t="s">
        <v>52</v>
      </c>
      <c r="G256" s="27">
        <f>$H$252</f>
        <v>6</v>
      </c>
      <c r="H256" s="27">
        <f>$G256+$E256</f>
        <v>8</v>
      </c>
      <c r="I256" s="28">
        <f>WORKDAY(Settings!$D$11,INT($G256/HoursPerDay)+1,Holidays)</f>
        <v>46260</v>
      </c>
      <c r="J256" s="28">
        <f>IF($E256=0,$I256,WORKDAY(Settings!$D$11,ROUNDUP($H256/HoursPerDay,0),Holidays))</f>
        <v>46261</v>
      </c>
    </row>
    <row r="257" spans="1:10" x14ac:dyDescent="0.25">
      <c r="A257" s="25" t="s">
        <v>10</v>
      </c>
      <c r="B257" s="25" t="s">
        <v>91</v>
      </c>
      <c r="C257" s="25" t="s">
        <v>56</v>
      </c>
      <c r="D257" s="25" t="s">
        <v>51</v>
      </c>
      <c r="E257" s="26">
        <v>1</v>
      </c>
      <c r="F257" s="25" t="s">
        <v>57</v>
      </c>
      <c r="G257" s="27">
        <f>$H$253</f>
        <v>5</v>
      </c>
      <c r="H257" s="27">
        <f>$G257+$E257</f>
        <v>6</v>
      </c>
      <c r="I257" s="28">
        <f>WORKDAY(Settings!$D$11,INT($G257/HoursPerDay)+1,Holidays)</f>
        <v>46260</v>
      </c>
      <c r="J257" s="28">
        <f>IF($E257=0,$I257,WORKDAY(Settings!$D$11,ROUNDUP($H257/HoursPerDay,0),Holidays))</f>
        <v>46260</v>
      </c>
    </row>
    <row r="258" spans="1:10" x14ac:dyDescent="0.25">
      <c r="A258" s="25" t="s">
        <v>10</v>
      </c>
      <c r="B258" s="25" t="s">
        <v>92</v>
      </c>
      <c r="C258" s="25" t="s">
        <v>59</v>
      </c>
      <c r="D258" s="25" t="s">
        <v>51</v>
      </c>
      <c r="E258" s="26">
        <v>1</v>
      </c>
      <c r="F258" s="25" t="s">
        <v>60</v>
      </c>
      <c r="G258" s="27">
        <f>$H$254</f>
        <v>21</v>
      </c>
      <c r="H258" s="27">
        <f>$G258+$E258</f>
        <v>22</v>
      </c>
      <c r="I258" s="28">
        <f>WORKDAY(Settings!$D$11,INT($G258/HoursPerDay)+1,Holidays)</f>
        <v>46265</v>
      </c>
      <c r="J258" s="28">
        <f>IF($E258=0,$I258,WORKDAY(Settings!$D$11,ROUNDUP($H258/HoursPerDay,0),Holidays))</f>
        <v>46265</v>
      </c>
    </row>
    <row r="259" spans="1:10" x14ac:dyDescent="0.25">
      <c r="A259" s="22" t="s">
        <v>10</v>
      </c>
      <c r="B259" s="22" t="s">
        <v>93</v>
      </c>
      <c r="C259" s="22" t="s">
        <v>339</v>
      </c>
      <c r="D259" s="22" t="s">
        <v>48</v>
      </c>
      <c r="E259" s="23">
        <f>SUMIF($D260:$D262,"Task",$E260:$E262)</f>
        <v>4</v>
      </c>
      <c r="F259" s="22"/>
      <c r="G259" s="23"/>
      <c r="H259" s="23"/>
      <c r="I259" s="24">
        <f>MIN($I260:$I262)</f>
        <v>46260</v>
      </c>
      <c r="J259" s="24">
        <f>MAX($J260:$J262)</f>
        <v>46265</v>
      </c>
    </row>
    <row r="260" spans="1:10" x14ac:dyDescent="0.25">
      <c r="A260" s="25" t="s">
        <v>10</v>
      </c>
      <c r="B260" s="25" t="s">
        <v>95</v>
      </c>
      <c r="C260" s="25" t="s">
        <v>54</v>
      </c>
      <c r="D260" s="25" t="s">
        <v>51</v>
      </c>
      <c r="E260" s="26">
        <v>2</v>
      </c>
      <c r="F260" s="25" t="s">
        <v>52</v>
      </c>
      <c r="G260" s="27">
        <f>$H$256</f>
        <v>8</v>
      </c>
      <c r="H260" s="27">
        <f>$G260+$E260</f>
        <v>10</v>
      </c>
      <c r="I260" s="28">
        <f>WORKDAY(Settings!$D$11,INT($G260/HoursPerDay)+1,Holidays)</f>
        <v>46261</v>
      </c>
      <c r="J260" s="28">
        <f>IF($E260=0,$I260,WORKDAY(Settings!$D$11,ROUNDUP($H260/HoursPerDay,0),Holidays))</f>
        <v>46261</v>
      </c>
    </row>
    <row r="261" spans="1:10" x14ac:dyDescent="0.25">
      <c r="A261" s="25" t="s">
        <v>10</v>
      </c>
      <c r="B261" s="25" t="s">
        <v>96</v>
      </c>
      <c r="C261" s="25" t="s">
        <v>56</v>
      </c>
      <c r="D261" s="25" t="s">
        <v>51</v>
      </c>
      <c r="E261" s="26">
        <v>1</v>
      </c>
      <c r="F261" s="25" t="s">
        <v>57</v>
      </c>
      <c r="G261" s="27">
        <f>$H$257</f>
        <v>6</v>
      </c>
      <c r="H261" s="27">
        <f>$G261+$E261</f>
        <v>7</v>
      </c>
      <c r="I261" s="28">
        <f>WORKDAY(Settings!$D$11,INT($G261/HoursPerDay)+1,Holidays)</f>
        <v>46260</v>
      </c>
      <c r="J261" s="28">
        <f>IF($E261=0,$I261,WORKDAY(Settings!$D$11,ROUNDUP($H261/HoursPerDay,0),Holidays))</f>
        <v>46260</v>
      </c>
    </row>
    <row r="262" spans="1:10" x14ac:dyDescent="0.25">
      <c r="A262" s="25" t="s">
        <v>10</v>
      </c>
      <c r="B262" s="25" t="s">
        <v>97</v>
      </c>
      <c r="C262" s="25" t="s">
        <v>59</v>
      </c>
      <c r="D262" s="25" t="s">
        <v>51</v>
      </c>
      <c r="E262" s="26">
        <v>1</v>
      </c>
      <c r="F262" s="25" t="s">
        <v>60</v>
      </c>
      <c r="G262" s="27">
        <f>$H$258</f>
        <v>22</v>
      </c>
      <c r="H262" s="27">
        <f>$G262+$E262</f>
        <v>23</v>
      </c>
      <c r="I262" s="28">
        <f>WORKDAY(Settings!$D$11,INT($G262/HoursPerDay)+1,Holidays)</f>
        <v>46265</v>
      </c>
      <c r="J262" s="28">
        <f>IF($E262=0,$I262,WORKDAY(Settings!$D$11,ROUNDUP($H262/HoursPerDay,0),Holidays))</f>
        <v>46265</v>
      </c>
    </row>
    <row r="263" spans="1:10" x14ac:dyDescent="0.25">
      <c r="A263" s="22" t="s">
        <v>10</v>
      </c>
      <c r="B263" s="22" t="s">
        <v>99</v>
      </c>
      <c r="C263" s="22" t="s">
        <v>340</v>
      </c>
      <c r="D263" s="22" t="s">
        <v>48</v>
      </c>
      <c r="E263" s="23">
        <f>SUMIF($D264:$D266,"Task",$E264:$E266)</f>
        <v>4</v>
      </c>
      <c r="F263" s="22"/>
      <c r="G263" s="23"/>
      <c r="H263" s="23"/>
      <c r="I263" s="24">
        <f>MIN($I264:$I266)</f>
        <v>46261</v>
      </c>
      <c r="J263" s="24">
        <f>MAX($J264:$J266)</f>
        <v>46265</v>
      </c>
    </row>
    <row r="264" spans="1:10" x14ac:dyDescent="0.25">
      <c r="A264" s="25" t="s">
        <v>10</v>
      </c>
      <c r="B264" s="25" t="s">
        <v>101</v>
      </c>
      <c r="C264" s="25" t="s">
        <v>54</v>
      </c>
      <c r="D264" s="25" t="s">
        <v>51</v>
      </c>
      <c r="E264" s="26">
        <v>2</v>
      </c>
      <c r="F264" s="25" t="s">
        <v>52</v>
      </c>
      <c r="G264" s="27">
        <f>$H$260</f>
        <v>10</v>
      </c>
      <c r="H264" s="27">
        <f>$G264+$E264</f>
        <v>12</v>
      </c>
      <c r="I264" s="28">
        <f>WORKDAY(Settings!$D$11,INT($G264/HoursPerDay)+1,Holidays)</f>
        <v>46261</v>
      </c>
      <c r="J264" s="28">
        <f>IF($E264=0,$I264,WORKDAY(Settings!$D$11,ROUNDUP($H264/HoursPerDay,0),Holidays))</f>
        <v>46261</v>
      </c>
    </row>
    <row r="265" spans="1:10" x14ac:dyDescent="0.25">
      <c r="A265" s="25" t="s">
        <v>10</v>
      </c>
      <c r="B265" s="25" t="s">
        <v>102</v>
      </c>
      <c r="C265" s="25" t="s">
        <v>56</v>
      </c>
      <c r="D265" s="25" t="s">
        <v>51</v>
      </c>
      <c r="E265" s="26">
        <v>1</v>
      </c>
      <c r="F265" s="25" t="s">
        <v>57</v>
      </c>
      <c r="G265" s="27">
        <f>$H$261</f>
        <v>7</v>
      </c>
      <c r="H265" s="27">
        <f>$G265+$E265</f>
        <v>8</v>
      </c>
      <c r="I265" s="28">
        <f>WORKDAY(Settings!$D$11,INT($G265/HoursPerDay)+1,Holidays)</f>
        <v>46261</v>
      </c>
      <c r="J265" s="28">
        <f>IF($E265=0,$I265,WORKDAY(Settings!$D$11,ROUNDUP($H265/HoursPerDay,0),Holidays))</f>
        <v>46261</v>
      </c>
    </row>
    <row r="266" spans="1:10" x14ac:dyDescent="0.25">
      <c r="A266" s="25" t="s">
        <v>10</v>
      </c>
      <c r="B266" s="25" t="s">
        <v>103</v>
      </c>
      <c r="C266" s="25" t="s">
        <v>59</v>
      </c>
      <c r="D266" s="25" t="s">
        <v>51</v>
      </c>
      <c r="E266" s="26">
        <v>1</v>
      </c>
      <c r="F266" s="25" t="s">
        <v>60</v>
      </c>
      <c r="G266" s="27">
        <f>$H$262</f>
        <v>23</v>
      </c>
      <c r="H266" s="27">
        <f>$G266+$E266</f>
        <v>24</v>
      </c>
      <c r="I266" s="28">
        <f>WORKDAY(Settings!$D$11,INT($G266/HoursPerDay)+1,Holidays)</f>
        <v>46265</v>
      </c>
      <c r="J266" s="28">
        <f>IF($E266=0,$I266,WORKDAY(Settings!$D$11,ROUNDUP($H266/HoursPerDay,0),Holidays))</f>
        <v>46265</v>
      </c>
    </row>
    <row r="267" spans="1:10" x14ac:dyDescent="0.25">
      <c r="A267" s="22" t="s">
        <v>10</v>
      </c>
      <c r="B267" s="22" t="s">
        <v>105</v>
      </c>
      <c r="C267" s="22" t="s">
        <v>341</v>
      </c>
      <c r="D267" s="22" t="s">
        <v>48</v>
      </c>
      <c r="E267" s="23">
        <f>SUMIF($D268:$D270,"Task",$E268:$E270)</f>
        <v>8</v>
      </c>
      <c r="F267" s="22"/>
      <c r="G267" s="23"/>
      <c r="H267" s="23"/>
      <c r="I267" s="24">
        <f>MIN($I268:$I270)</f>
        <v>46261</v>
      </c>
      <c r="J267" s="24">
        <f>MAX($J268:$J270)</f>
        <v>46265</v>
      </c>
    </row>
    <row r="268" spans="1:10" x14ac:dyDescent="0.25">
      <c r="A268" s="25" t="s">
        <v>10</v>
      </c>
      <c r="B268" s="25" t="s">
        <v>107</v>
      </c>
      <c r="C268" s="25" t="s">
        <v>54</v>
      </c>
      <c r="D268" s="25" t="s">
        <v>51</v>
      </c>
      <c r="E268" s="26">
        <v>2</v>
      </c>
      <c r="F268" s="25" t="s">
        <v>52</v>
      </c>
      <c r="G268" s="27">
        <f>$H$264</f>
        <v>12</v>
      </c>
      <c r="H268" s="27">
        <f>$G268+$E268</f>
        <v>14</v>
      </c>
      <c r="I268" s="28">
        <f>WORKDAY(Settings!$D$11,INT($G268/HoursPerDay)+1,Holidays)</f>
        <v>46261</v>
      </c>
      <c r="J268" s="28">
        <f>IF($E268=0,$I268,WORKDAY(Settings!$D$11,ROUNDUP($H268/HoursPerDay,0),Holidays))</f>
        <v>46261</v>
      </c>
    </row>
    <row r="269" spans="1:10" x14ac:dyDescent="0.25">
      <c r="A269" s="25" t="s">
        <v>10</v>
      </c>
      <c r="B269" s="25" t="s">
        <v>108</v>
      </c>
      <c r="C269" s="25" t="s">
        <v>56</v>
      </c>
      <c r="D269" s="25" t="s">
        <v>51</v>
      </c>
      <c r="E269" s="26">
        <v>3</v>
      </c>
      <c r="F269" s="25" t="s">
        <v>57</v>
      </c>
      <c r="G269" s="27">
        <f>$H$265</f>
        <v>8</v>
      </c>
      <c r="H269" s="27">
        <f>$G269+$E269</f>
        <v>11</v>
      </c>
      <c r="I269" s="28">
        <f>WORKDAY(Settings!$D$11,INT($G269/HoursPerDay)+1,Holidays)</f>
        <v>46261</v>
      </c>
      <c r="J269" s="28">
        <f>IF($E269=0,$I269,WORKDAY(Settings!$D$11,ROUNDUP($H269/HoursPerDay,0),Holidays))</f>
        <v>46261</v>
      </c>
    </row>
    <row r="270" spans="1:10" x14ac:dyDescent="0.25">
      <c r="A270" s="25" t="s">
        <v>10</v>
      </c>
      <c r="B270" s="25" t="s">
        <v>109</v>
      </c>
      <c r="C270" s="25" t="s">
        <v>59</v>
      </c>
      <c r="D270" s="25" t="s">
        <v>51</v>
      </c>
      <c r="E270" s="26">
        <v>3</v>
      </c>
      <c r="F270" s="25" t="s">
        <v>60</v>
      </c>
      <c r="G270" s="27">
        <f>$H$266</f>
        <v>24</v>
      </c>
      <c r="H270" s="27">
        <f>$G270+$E270</f>
        <v>27</v>
      </c>
      <c r="I270" s="28">
        <f>WORKDAY(Settings!$D$11,INT($G270/HoursPerDay)+1,Holidays)</f>
        <v>46265</v>
      </c>
      <c r="J270" s="28">
        <f>IF($E270=0,$I270,WORKDAY(Settings!$D$11,ROUNDUP($H270/HoursPerDay,0),Holidays))</f>
        <v>46265</v>
      </c>
    </row>
    <row r="271" spans="1:10" x14ac:dyDescent="0.25">
      <c r="A271" s="22" t="s">
        <v>10</v>
      </c>
      <c r="B271" s="22" t="s">
        <v>111</v>
      </c>
      <c r="C271" s="22" t="s">
        <v>342</v>
      </c>
      <c r="D271" s="22" t="s">
        <v>48</v>
      </c>
      <c r="E271" s="23">
        <f>SUMIF($D272:$D274,"Task",$E272:$E274)</f>
        <v>8</v>
      </c>
      <c r="F271" s="22"/>
      <c r="G271" s="23"/>
      <c r="H271" s="23"/>
      <c r="I271" s="24">
        <f>MIN($I272:$I274)</f>
        <v>46261</v>
      </c>
      <c r="J271" s="24">
        <f>MAX($J272:$J274)</f>
        <v>46266</v>
      </c>
    </row>
    <row r="272" spans="1:10" x14ac:dyDescent="0.25">
      <c r="A272" s="25" t="s">
        <v>10</v>
      </c>
      <c r="B272" s="25" t="s">
        <v>343</v>
      </c>
      <c r="C272" s="25" t="s">
        <v>54</v>
      </c>
      <c r="D272" s="25" t="s">
        <v>51</v>
      </c>
      <c r="E272" s="26">
        <v>2</v>
      </c>
      <c r="F272" s="25" t="s">
        <v>52</v>
      </c>
      <c r="G272" s="27">
        <f>$H$268</f>
        <v>14</v>
      </c>
      <c r="H272" s="27">
        <f>$G272+$E272</f>
        <v>16</v>
      </c>
      <c r="I272" s="28">
        <f>WORKDAY(Settings!$D$11,INT($G272/HoursPerDay)+1,Holidays)</f>
        <v>46262</v>
      </c>
      <c r="J272" s="28">
        <f>IF($E272=0,$I272,WORKDAY(Settings!$D$11,ROUNDUP($H272/HoursPerDay,0),Holidays))</f>
        <v>46262</v>
      </c>
    </row>
    <row r="273" spans="1:10" x14ac:dyDescent="0.25">
      <c r="A273" s="25" t="s">
        <v>10</v>
      </c>
      <c r="B273" s="25" t="s">
        <v>113</v>
      </c>
      <c r="C273" s="25" t="s">
        <v>56</v>
      </c>
      <c r="D273" s="25" t="s">
        <v>51</v>
      </c>
      <c r="E273" s="26">
        <v>3</v>
      </c>
      <c r="F273" s="25" t="s">
        <v>57</v>
      </c>
      <c r="G273" s="27">
        <f>$H$269</f>
        <v>11</v>
      </c>
      <c r="H273" s="27">
        <f>$G273+$E273</f>
        <v>14</v>
      </c>
      <c r="I273" s="28">
        <f>WORKDAY(Settings!$D$11,INT($G273/HoursPerDay)+1,Holidays)</f>
        <v>46261</v>
      </c>
      <c r="J273" s="28">
        <f>IF($E273=0,$I273,WORKDAY(Settings!$D$11,ROUNDUP($H273/HoursPerDay,0),Holidays))</f>
        <v>46261</v>
      </c>
    </row>
    <row r="274" spans="1:10" x14ac:dyDescent="0.25">
      <c r="A274" s="25" t="s">
        <v>10</v>
      </c>
      <c r="B274" s="25" t="s">
        <v>114</v>
      </c>
      <c r="C274" s="25" t="s">
        <v>59</v>
      </c>
      <c r="D274" s="25" t="s">
        <v>51</v>
      </c>
      <c r="E274" s="26">
        <v>3</v>
      </c>
      <c r="F274" s="25" t="s">
        <v>60</v>
      </c>
      <c r="G274" s="27">
        <f>$H$270</f>
        <v>27</v>
      </c>
      <c r="H274" s="27">
        <f>$G274+$E274</f>
        <v>30</v>
      </c>
      <c r="I274" s="28">
        <f>WORKDAY(Settings!$D$11,INT($G274/HoursPerDay)+1,Holidays)</f>
        <v>46265</v>
      </c>
      <c r="J274" s="28">
        <f>IF($E274=0,$I274,WORKDAY(Settings!$D$11,ROUNDUP($H274/HoursPerDay,0),Holidays))</f>
        <v>46266</v>
      </c>
    </row>
    <row r="275" spans="1:10" x14ac:dyDescent="0.25">
      <c r="A275" s="22" t="s">
        <v>10</v>
      </c>
      <c r="B275" s="22" t="s">
        <v>116</v>
      </c>
      <c r="C275" s="22" t="s">
        <v>344</v>
      </c>
      <c r="D275" s="22" t="s">
        <v>48</v>
      </c>
      <c r="E275" s="23">
        <f>SUMIF($D276:$D278,"Task",$E276:$E278)</f>
        <v>7</v>
      </c>
      <c r="F275" s="22"/>
      <c r="G275" s="23"/>
      <c r="H275" s="23"/>
      <c r="I275" s="24">
        <f>MIN($I276:$I278)</f>
        <v>46262</v>
      </c>
      <c r="J275" s="24">
        <f>MAX($J276:$J278)</f>
        <v>46266</v>
      </c>
    </row>
    <row r="276" spans="1:10" x14ac:dyDescent="0.25">
      <c r="A276" s="25" t="s">
        <v>10</v>
      </c>
      <c r="B276" s="25" t="s">
        <v>345</v>
      </c>
      <c r="C276" s="25" t="s">
        <v>54</v>
      </c>
      <c r="D276" s="25" t="s">
        <v>51</v>
      </c>
      <c r="E276" s="26">
        <v>3</v>
      </c>
      <c r="F276" s="25" t="s">
        <v>52</v>
      </c>
      <c r="G276" s="27">
        <f>$H$272</f>
        <v>16</v>
      </c>
      <c r="H276" s="27">
        <f>$G276+$E276</f>
        <v>19</v>
      </c>
      <c r="I276" s="28">
        <f>WORKDAY(Settings!$D$11,INT($G276/HoursPerDay)+1,Holidays)</f>
        <v>46262</v>
      </c>
      <c r="J276" s="28">
        <f>IF($E276=0,$I276,WORKDAY(Settings!$D$11,ROUNDUP($H276/HoursPerDay,0),Holidays))</f>
        <v>46262</v>
      </c>
    </row>
    <row r="277" spans="1:10" x14ac:dyDescent="0.25">
      <c r="A277" s="25" t="s">
        <v>10</v>
      </c>
      <c r="B277" s="25" t="s">
        <v>118</v>
      </c>
      <c r="C277" s="25" t="s">
        <v>56</v>
      </c>
      <c r="D277" s="25" t="s">
        <v>51</v>
      </c>
      <c r="E277" s="26">
        <v>2</v>
      </c>
      <c r="F277" s="25" t="s">
        <v>57</v>
      </c>
      <c r="G277" s="27">
        <f>$H$273</f>
        <v>14</v>
      </c>
      <c r="H277" s="27">
        <f>$G277+$E277</f>
        <v>16</v>
      </c>
      <c r="I277" s="28">
        <f>WORKDAY(Settings!$D$11,INT($G277/HoursPerDay)+1,Holidays)</f>
        <v>46262</v>
      </c>
      <c r="J277" s="28">
        <f>IF($E277=0,$I277,WORKDAY(Settings!$D$11,ROUNDUP($H277/HoursPerDay,0),Holidays))</f>
        <v>46262</v>
      </c>
    </row>
    <row r="278" spans="1:10" x14ac:dyDescent="0.25">
      <c r="A278" s="25" t="s">
        <v>10</v>
      </c>
      <c r="B278" s="25" t="s">
        <v>119</v>
      </c>
      <c r="C278" s="25" t="s">
        <v>59</v>
      </c>
      <c r="D278" s="25" t="s">
        <v>51</v>
      </c>
      <c r="E278" s="26">
        <v>2</v>
      </c>
      <c r="F278" s="25" t="s">
        <v>60</v>
      </c>
      <c r="G278" s="27">
        <f>$H$274</f>
        <v>30</v>
      </c>
      <c r="H278" s="27">
        <f>$G278+$E278</f>
        <v>32</v>
      </c>
      <c r="I278" s="28">
        <f>WORKDAY(Settings!$D$11,INT($G278/HoursPerDay)+1,Holidays)</f>
        <v>46266</v>
      </c>
      <c r="J278" s="28">
        <f>IF($E278=0,$I278,WORKDAY(Settings!$D$11,ROUNDUP($H278/HoursPerDay,0),Holidays))</f>
        <v>46266</v>
      </c>
    </row>
    <row r="279" spans="1:10" x14ac:dyDescent="0.25">
      <c r="A279" s="19" t="s">
        <v>10</v>
      </c>
      <c r="B279" s="19" t="s">
        <v>136</v>
      </c>
      <c r="C279" s="19" t="s">
        <v>346</v>
      </c>
      <c r="D279" s="19" t="s">
        <v>45</v>
      </c>
      <c r="E279" s="20">
        <f>SUMIF($D280:$D295,"Task",$E280:$E295)</f>
        <v>22</v>
      </c>
      <c r="F279" s="19"/>
      <c r="G279" s="20"/>
      <c r="H279" s="20"/>
      <c r="I279" s="21">
        <f>MIN($I280:$I295)</f>
        <v>46262</v>
      </c>
      <c r="J279" s="21">
        <f>MAX($J280:$J295)</f>
        <v>46267</v>
      </c>
    </row>
    <row r="280" spans="1:10" x14ac:dyDescent="0.25">
      <c r="A280" s="22" t="s">
        <v>10</v>
      </c>
      <c r="B280" s="22" t="s">
        <v>138</v>
      </c>
      <c r="C280" s="22" t="s">
        <v>347</v>
      </c>
      <c r="D280" s="22" t="s">
        <v>48</v>
      </c>
      <c r="E280" s="23">
        <f>SUMIF($D281:$D283,"Task",$E281:$E283)</f>
        <v>6</v>
      </c>
      <c r="F280" s="22"/>
      <c r="G280" s="23"/>
      <c r="H280" s="23"/>
      <c r="I280" s="24">
        <f>MIN($I281:$I283)</f>
        <v>46262</v>
      </c>
      <c r="J280" s="24">
        <f>MAX($J281:$J283)</f>
        <v>46266</v>
      </c>
    </row>
    <row r="281" spans="1:10" x14ac:dyDescent="0.25">
      <c r="A281" s="25" t="s">
        <v>10</v>
      </c>
      <c r="B281" s="25" t="s">
        <v>141</v>
      </c>
      <c r="C281" s="25" t="s">
        <v>54</v>
      </c>
      <c r="D281" s="25" t="s">
        <v>51</v>
      </c>
      <c r="E281" s="26">
        <v>2</v>
      </c>
      <c r="F281" s="25" t="s">
        <v>52</v>
      </c>
      <c r="G281" s="27">
        <f>$H$276</f>
        <v>19</v>
      </c>
      <c r="H281" s="27">
        <f>$G281+$E281</f>
        <v>21</v>
      </c>
      <c r="I281" s="28">
        <f>WORKDAY(Settings!$D$11,INT($G281/HoursPerDay)+1,Holidays)</f>
        <v>46262</v>
      </c>
      <c r="J281" s="28">
        <f>IF($E281=0,$I281,WORKDAY(Settings!$D$11,ROUNDUP($H281/HoursPerDay,0),Holidays))</f>
        <v>46262</v>
      </c>
    </row>
    <row r="282" spans="1:10" x14ac:dyDescent="0.25">
      <c r="A282" s="25" t="s">
        <v>10</v>
      </c>
      <c r="B282" s="25" t="s">
        <v>142</v>
      </c>
      <c r="C282" s="25" t="s">
        <v>56</v>
      </c>
      <c r="D282" s="25" t="s">
        <v>51</v>
      </c>
      <c r="E282" s="26">
        <v>2</v>
      </c>
      <c r="F282" s="25" t="s">
        <v>57</v>
      </c>
      <c r="G282" s="27">
        <f>$H$277</f>
        <v>16</v>
      </c>
      <c r="H282" s="27">
        <f>$G282+$E282</f>
        <v>18</v>
      </c>
      <c r="I282" s="28">
        <f>WORKDAY(Settings!$D$11,INT($G282/HoursPerDay)+1,Holidays)</f>
        <v>46262</v>
      </c>
      <c r="J282" s="28">
        <f>IF($E282=0,$I282,WORKDAY(Settings!$D$11,ROUNDUP($H282/HoursPerDay,0),Holidays))</f>
        <v>46262</v>
      </c>
    </row>
    <row r="283" spans="1:10" x14ac:dyDescent="0.25">
      <c r="A283" s="25" t="s">
        <v>10</v>
      </c>
      <c r="B283" s="25" t="s">
        <v>143</v>
      </c>
      <c r="C283" s="25" t="s">
        <v>59</v>
      </c>
      <c r="D283" s="25" t="s">
        <v>51</v>
      </c>
      <c r="E283" s="26">
        <v>2</v>
      </c>
      <c r="F283" s="25" t="s">
        <v>60</v>
      </c>
      <c r="G283" s="27">
        <f>$H$278</f>
        <v>32</v>
      </c>
      <c r="H283" s="27">
        <f>$G283+$E283</f>
        <v>34</v>
      </c>
      <c r="I283" s="28">
        <f>WORKDAY(Settings!$D$11,INT($G283/HoursPerDay)+1,Holidays)</f>
        <v>46266</v>
      </c>
      <c r="J283" s="28">
        <f>IF($E283=0,$I283,WORKDAY(Settings!$D$11,ROUNDUP($H283/HoursPerDay,0),Holidays))</f>
        <v>46266</v>
      </c>
    </row>
    <row r="284" spans="1:10" x14ac:dyDescent="0.25">
      <c r="A284" s="22" t="s">
        <v>10</v>
      </c>
      <c r="B284" s="22" t="s">
        <v>144</v>
      </c>
      <c r="C284" s="22" t="s">
        <v>348</v>
      </c>
      <c r="D284" s="22" t="s">
        <v>48</v>
      </c>
      <c r="E284" s="23">
        <f>SUMIF($D285:$D287,"Task",$E285:$E287)</f>
        <v>4</v>
      </c>
      <c r="F284" s="22"/>
      <c r="G284" s="23"/>
      <c r="H284" s="23"/>
      <c r="I284" s="24">
        <f>MIN($I285:$I287)</f>
        <v>46262</v>
      </c>
      <c r="J284" s="24">
        <f>MAX($J285:$J287)</f>
        <v>46267</v>
      </c>
    </row>
    <row r="285" spans="1:10" x14ac:dyDescent="0.25">
      <c r="A285" s="25" t="s">
        <v>10</v>
      </c>
      <c r="B285" s="25" t="s">
        <v>349</v>
      </c>
      <c r="C285" s="25" t="s">
        <v>54</v>
      </c>
      <c r="D285" s="25" t="s">
        <v>51</v>
      </c>
      <c r="E285" s="26">
        <v>0</v>
      </c>
      <c r="F285" s="25" t="s">
        <v>52</v>
      </c>
      <c r="G285" s="27">
        <f>$H$281</f>
        <v>21</v>
      </c>
      <c r="H285" s="27">
        <f>$G285+$E285</f>
        <v>21</v>
      </c>
      <c r="I285" s="28">
        <f>WORKDAY(Settings!$D$11,INT($G285/HoursPerDay)+1,Holidays)</f>
        <v>46265</v>
      </c>
      <c r="J285" s="28">
        <f>IF($E285=0,$I285,WORKDAY(Settings!$D$11,ROUNDUP($H285/HoursPerDay,0),Holidays))</f>
        <v>46265</v>
      </c>
    </row>
    <row r="286" spans="1:10" x14ac:dyDescent="0.25">
      <c r="A286" s="25" t="s">
        <v>10</v>
      </c>
      <c r="B286" s="25" t="s">
        <v>146</v>
      </c>
      <c r="C286" s="25" t="s">
        <v>56</v>
      </c>
      <c r="D286" s="25" t="s">
        <v>51</v>
      </c>
      <c r="E286" s="26">
        <v>2</v>
      </c>
      <c r="F286" s="25" t="s">
        <v>57</v>
      </c>
      <c r="G286" s="27">
        <f>$H$282</f>
        <v>18</v>
      </c>
      <c r="H286" s="27">
        <f>$G286+$E286</f>
        <v>20</v>
      </c>
      <c r="I286" s="28">
        <f>WORKDAY(Settings!$D$11,INT($G286/HoursPerDay)+1,Holidays)</f>
        <v>46262</v>
      </c>
      <c r="J286" s="28">
        <f>IF($E286=0,$I286,WORKDAY(Settings!$D$11,ROUNDUP($H286/HoursPerDay,0),Holidays))</f>
        <v>46262</v>
      </c>
    </row>
    <row r="287" spans="1:10" x14ac:dyDescent="0.25">
      <c r="A287" s="25" t="s">
        <v>10</v>
      </c>
      <c r="B287" s="25" t="s">
        <v>147</v>
      </c>
      <c r="C287" s="25" t="s">
        <v>59</v>
      </c>
      <c r="D287" s="25" t="s">
        <v>51</v>
      </c>
      <c r="E287" s="26">
        <v>2</v>
      </c>
      <c r="F287" s="25" t="s">
        <v>60</v>
      </c>
      <c r="G287" s="27">
        <f>$H$283</f>
        <v>34</v>
      </c>
      <c r="H287" s="27">
        <f>$G287+$E287</f>
        <v>36</v>
      </c>
      <c r="I287" s="28">
        <f>WORKDAY(Settings!$D$11,INT($G287/HoursPerDay)+1,Holidays)</f>
        <v>46266</v>
      </c>
      <c r="J287" s="28">
        <f>IF($E287=0,$I287,WORKDAY(Settings!$D$11,ROUNDUP($H287/HoursPerDay,0),Holidays))</f>
        <v>46267</v>
      </c>
    </row>
    <row r="288" spans="1:10" x14ac:dyDescent="0.25">
      <c r="A288" s="22" t="s">
        <v>10</v>
      </c>
      <c r="B288" s="22" t="s">
        <v>148</v>
      </c>
      <c r="C288" s="22" t="s">
        <v>350</v>
      </c>
      <c r="D288" s="22" t="s">
        <v>48</v>
      </c>
      <c r="E288" s="23">
        <f>SUMIF($D289:$D291,"Task",$E289:$E291)</f>
        <v>6</v>
      </c>
      <c r="F288" s="22"/>
      <c r="G288" s="23"/>
      <c r="H288" s="23"/>
      <c r="I288" s="24">
        <f>MIN($I289:$I291)</f>
        <v>46262</v>
      </c>
      <c r="J288" s="24">
        <f>MAX($J289:$J291)</f>
        <v>46267</v>
      </c>
    </row>
    <row r="289" spans="1:10" x14ac:dyDescent="0.25">
      <c r="A289" s="25" t="s">
        <v>10</v>
      </c>
      <c r="B289" s="25" t="s">
        <v>349</v>
      </c>
      <c r="C289" s="25" t="s">
        <v>54</v>
      </c>
      <c r="D289" s="25" t="s">
        <v>51</v>
      </c>
      <c r="E289" s="26">
        <v>2</v>
      </c>
      <c r="F289" s="25" t="s">
        <v>52</v>
      </c>
      <c r="G289" s="27">
        <f>$H$285</f>
        <v>21</v>
      </c>
      <c r="H289" s="27">
        <f>$G289+$E289</f>
        <v>23</v>
      </c>
      <c r="I289" s="28">
        <f>WORKDAY(Settings!$D$11,INT($G289/HoursPerDay)+1,Holidays)</f>
        <v>46265</v>
      </c>
      <c r="J289" s="28">
        <f>IF($E289=0,$I289,WORKDAY(Settings!$D$11,ROUNDUP($H289/HoursPerDay,0),Holidays))</f>
        <v>46265</v>
      </c>
    </row>
    <row r="290" spans="1:10" x14ac:dyDescent="0.25">
      <c r="A290" s="25" t="s">
        <v>10</v>
      </c>
      <c r="B290" s="25" t="s">
        <v>150</v>
      </c>
      <c r="C290" s="25" t="s">
        <v>56</v>
      </c>
      <c r="D290" s="25" t="s">
        <v>51</v>
      </c>
      <c r="E290" s="26">
        <v>2</v>
      </c>
      <c r="F290" s="25" t="s">
        <v>57</v>
      </c>
      <c r="G290" s="27">
        <f>$H$286</f>
        <v>20</v>
      </c>
      <c r="H290" s="27">
        <f>$G290+$E290</f>
        <v>22</v>
      </c>
      <c r="I290" s="28">
        <f>WORKDAY(Settings!$D$11,INT($G290/HoursPerDay)+1,Holidays)</f>
        <v>46262</v>
      </c>
      <c r="J290" s="28">
        <f>IF($E290=0,$I290,WORKDAY(Settings!$D$11,ROUNDUP($H290/HoursPerDay,0),Holidays))</f>
        <v>46265</v>
      </c>
    </row>
    <row r="291" spans="1:10" x14ac:dyDescent="0.25">
      <c r="A291" s="25" t="s">
        <v>10</v>
      </c>
      <c r="B291" s="25" t="s">
        <v>151</v>
      </c>
      <c r="C291" s="25" t="s">
        <v>59</v>
      </c>
      <c r="D291" s="25" t="s">
        <v>51</v>
      </c>
      <c r="E291" s="26">
        <v>2</v>
      </c>
      <c r="F291" s="25" t="s">
        <v>60</v>
      </c>
      <c r="G291" s="27">
        <f>$H$287</f>
        <v>36</v>
      </c>
      <c r="H291" s="27">
        <f>$G291+$E291</f>
        <v>38</v>
      </c>
      <c r="I291" s="28">
        <f>WORKDAY(Settings!$D$11,INT($G291/HoursPerDay)+1,Holidays)</f>
        <v>46267</v>
      </c>
      <c r="J291" s="28">
        <f>IF($E291=0,$I291,WORKDAY(Settings!$D$11,ROUNDUP($H291/HoursPerDay,0),Holidays))</f>
        <v>46267</v>
      </c>
    </row>
    <row r="292" spans="1:10" x14ac:dyDescent="0.25">
      <c r="A292" s="22" t="s">
        <v>10</v>
      </c>
      <c r="B292" s="22" t="s">
        <v>153</v>
      </c>
      <c r="C292" s="22" t="s">
        <v>351</v>
      </c>
      <c r="D292" s="22" t="s">
        <v>48</v>
      </c>
      <c r="E292" s="23">
        <f>SUMIF($D293:$D295,"Task",$E293:$E295)</f>
        <v>6</v>
      </c>
      <c r="F292" s="22"/>
      <c r="G292" s="23"/>
      <c r="H292" s="23"/>
      <c r="I292" s="24">
        <f>MIN($I293:$I295)</f>
        <v>46265</v>
      </c>
      <c r="J292" s="24">
        <f>MAX($J293:$J295)</f>
        <v>46267</v>
      </c>
    </row>
    <row r="293" spans="1:10" x14ac:dyDescent="0.25">
      <c r="A293" s="25" t="s">
        <v>10</v>
      </c>
      <c r="B293" s="25" t="s">
        <v>352</v>
      </c>
      <c r="C293" s="25" t="s">
        <v>54</v>
      </c>
      <c r="D293" s="25" t="s">
        <v>51</v>
      </c>
      <c r="E293" s="26">
        <v>2</v>
      </c>
      <c r="F293" s="25" t="s">
        <v>52</v>
      </c>
      <c r="G293" s="27">
        <f>$H$289</f>
        <v>23</v>
      </c>
      <c r="H293" s="27">
        <f>$G293+$E293</f>
        <v>25</v>
      </c>
      <c r="I293" s="28">
        <f>WORKDAY(Settings!$D$11,INT($G293/HoursPerDay)+1,Holidays)</f>
        <v>46265</v>
      </c>
      <c r="J293" s="28">
        <f>IF($E293=0,$I293,WORKDAY(Settings!$D$11,ROUNDUP($H293/HoursPerDay,0),Holidays))</f>
        <v>46265</v>
      </c>
    </row>
    <row r="294" spans="1:10" x14ac:dyDescent="0.25">
      <c r="A294" s="25" t="s">
        <v>10</v>
      </c>
      <c r="B294" s="25" t="s">
        <v>155</v>
      </c>
      <c r="C294" s="25" t="s">
        <v>56</v>
      </c>
      <c r="D294" s="25" t="s">
        <v>51</v>
      </c>
      <c r="E294" s="26">
        <v>2</v>
      </c>
      <c r="F294" s="25" t="s">
        <v>57</v>
      </c>
      <c r="G294" s="27">
        <f>$H$290</f>
        <v>22</v>
      </c>
      <c r="H294" s="27">
        <f>$G294+$E294</f>
        <v>24</v>
      </c>
      <c r="I294" s="28">
        <f>WORKDAY(Settings!$D$11,INT($G294/HoursPerDay)+1,Holidays)</f>
        <v>46265</v>
      </c>
      <c r="J294" s="28">
        <f>IF($E294=0,$I294,WORKDAY(Settings!$D$11,ROUNDUP($H294/HoursPerDay,0),Holidays))</f>
        <v>46265</v>
      </c>
    </row>
    <row r="295" spans="1:10" x14ac:dyDescent="0.25">
      <c r="A295" s="25" t="s">
        <v>10</v>
      </c>
      <c r="B295" s="25" t="s">
        <v>156</v>
      </c>
      <c r="C295" s="25" t="s">
        <v>59</v>
      </c>
      <c r="D295" s="25" t="s">
        <v>51</v>
      </c>
      <c r="E295" s="26">
        <v>2</v>
      </c>
      <c r="F295" s="25" t="s">
        <v>60</v>
      </c>
      <c r="G295" s="27">
        <f>$H$291</f>
        <v>38</v>
      </c>
      <c r="H295" s="27">
        <f>$G295+$E295</f>
        <v>40</v>
      </c>
      <c r="I295" s="28">
        <f>WORKDAY(Settings!$D$11,INT($G295/HoursPerDay)+1,Holidays)</f>
        <v>46267</v>
      </c>
      <c r="J295" s="28">
        <f>IF($E295=0,$I295,WORKDAY(Settings!$D$11,ROUNDUP($H295/HoursPerDay,0),Holidays))</f>
        <v>46267</v>
      </c>
    </row>
    <row r="296" spans="1:10" x14ac:dyDescent="0.25">
      <c r="A296" s="19" t="s">
        <v>10</v>
      </c>
      <c r="B296" s="19" t="s">
        <v>173</v>
      </c>
      <c r="C296" s="19" t="s">
        <v>353</v>
      </c>
      <c r="D296" s="19" t="s">
        <v>45</v>
      </c>
      <c r="E296" s="20">
        <f>SUMIF($D297:$D313,"Task",$E297:$E313)</f>
        <v>26</v>
      </c>
      <c r="F296" s="19"/>
      <c r="G296" s="20"/>
      <c r="H296" s="20"/>
      <c r="I296" s="21">
        <f>MIN($I297:$I313)</f>
        <v>46265</v>
      </c>
      <c r="J296" s="21">
        <f>MAX($J297:$J313)</f>
        <v>46268</v>
      </c>
    </row>
    <row r="297" spans="1:10" x14ac:dyDescent="0.25">
      <c r="A297" s="22" t="s">
        <v>10</v>
      </c>
      <c r="B297" s="22" t="s">
        <v>175</v>
      </c>
      <c r="C297" s="22" t="s">
        <v>354</v>
      </c>
      <c r="D297" s="22" t="s">
        <v>48</v>
      </c>
      <c r="E297" s="23">
        <f>SUMIF($D298:$D301,"Task",$E298:$E301)</f>
        <v>10</v>
      </c>
      <c r="F297" s="22"/>
      <c r="G297" s="23"/>
      <c r="H297" s="23"/>
      <c r="I297" s="24">
        <f>MIN($I298:$I301)</f>
        <v>46265</v>
      </c>
      <c r="J297" s="24">
        <f>MAX($J298:$J301)</f>
        <v>46267</v>
      </c>
    </row>
    <row r="298" spans="1:10" x14ac:dyDescent="0.25">
      <c r="A298" s="25" t="s">
        <v>10</v>
      </c>
      <c r="B298" s="25" t="s">
        <v>177</v>
      </c>
      <c r="C298" s="25" t="s">
        <v>50</v>
      </c>
      <c r="D298" s="25" t="s">
        <v>51</v>
      </c>
      <c r="E298" s="26">
        <v>4</v>
      </c>
      <c r="F298" s="25" t="s">
        <v>78</v>
      </c>
      <c r="G298" s="27">
        <f>$H$247</f>
        <v>34</v>
      </c>
      <c r="H298" s="27">
        <f>$G298+$E298</f>
        <v>38</v>
      </c>
      <c r="I298" s="28">
        <f>WORKDAY(Settings!$D$11,INT($G298/HoursPerDay)+1,Holidays)</f>
        <v>46266</v>
      </c>
      <c r="J298" s="28">
        <f>IF($E298=0,$I298,WORKDAY(Settings!$D$11,ROUNDUP($H298/HoursPerDay,0),Holidays))</f>
        <v>46267</v>
      </c>
    </row>
    <row r="299" spans="1:10" x14ac:dyDescent="0.25">
      <c r="A299" s="25" t="s">
        <v>10</v>
      </c>
      <c r="B299" s="25" t="s">
        <v>178</v>
      </c>
      <c r="C299" s="25" t="s">
        <v>54</v>
      </c>
      <c r="D299" s="25" t="s">
        <v>51</v>
      </c>
      <c r="E299" s="26">
        <v>2</v>
      </c>
      <c r="F299" s="25" t="s">
        <v>52</v>
      </c>
      <c r="G299" s="27">
        <f>$H$293</f>
        <v>25</v>
      </c>
      <c r="H299" s="27">
        <f>$G299+$E299</f>
        <v>27</v>
      </c>
      <c r="I299" s="28">
        <f>WORKDAY(Settings!$D$11,INT($G299/HoursPerDay)+1,Holidays)</f>
        <v>46265</v>
      </c>
      <c r="J299" s="28">
        <f>IF($E299=0,$I299,WORKDAY(Settings!$D$11,ROUNDUP($H299/HoursPerDay,0),Holidays))</f>
        <v>46265</v>
      </c>
    </row>
    <row r="300" spans="1:10" x14ac:dyDescent="0.25">
      <c r="A300" s="25" t="s">
        <v>10</v>
      </c>
      <c r="B300" s="25" t="s">
        <v>179</v>
      </c>
      <c r="C300" s="25" t="s">
        <v>56</v>
      </c>
      <c r="D300" s="25" t="s">
        <v>51</v>
      </c>
      <c r="E300" s="26">
        <v>2</v>
      </c>
      <c r="F300" s="25" t="s">
        <v>57</v>
      </c>
      <c r="G300" s="27">
        <f>$H$294</f>
        <v>24</v>
      </c>
      <c r="H300" s="27">
        <f>$G300+$E300</f>
        <v>26</v>
      </c>
      <c r="I300" s="28">
        <f>WORKDAY(Settings!$D$11,INT($G300/HoursPerDay)+1,Holidays)</f>
        <v>46265</v>
      </c>
      <c r="J300" s="28">
        <f>IF($E300=0,$I300,WORKDAY(Settings!$D$11,ROUNDUP($H300/HoursPerDay,0),Holidays))</f>
        <v>46265</v>
      </c>
    </row>
    <row r="301" spans="1:10" x14ac:dyDescent="0.25">
      <c r="A301" s="25" t="s">
        <v>10</v>
      </c>
      <c r="B301" s="25" t="s">
        <v>355</v>
      </c>
      <c r="C301" s="25" t="s">
        <v>59</v>
      </c>
      <c r="D301" s="25" t="s">
        <v>51</v>
      </c>
      <c r="E301" s="26">
        <v>2</v>
      </c>
      <c r="F301" s="25" t="s">
        <v>60</v>
      </c>
      <c r="G301" s="27">
        <f>$H$295</f>
        <v>40</v>
      </c>
      <c r="H301" s="27">
        <f>$G301+$E301</f>
        <v>42</v>
      </c>
      <c r="I301" s="28">
        <f>WORKDAY(Settings!$D$11,INT($G301/HoursPerDay)+1,Holidays)</f>
        <v>46267</v>
      </c>
      <c r="J301" s="28">
        <f>IF($E301=0,$I301,WORKDAY(Settings!$D$11,ROUNDUP($H301/HoursPerDay,0),Holidays))</f>
        <v>46267</v>
      </c>
    </row>
    <row r="302" spans="1:10" x14ac:dyDescent="0.25">
      <c r="A302" s="22" t="s">
        <v>10</v>
      </c>
      <c r="B302" s="22" t="s">
        <v>180</v>
      </c>
      <c r="C302" s="22" t="s">
        <v>356</v>
      </c>
      <c r="D302" s="22" t="s">
        <v>48</v>
      </c>
      <c r="E302" s="23">
        <f>SUMIF($D303:$D305,"Task",$E303:$E305)</f>
        <v>6</v>
      </c>
      <c r="F302" s="22"/>
      <c r="G302" s="23"/>
      <c r="H302" s="23"/>
      <c r="I302" s="24">
        <f>MIN($I303:$I305)</f>
        <v>46265</v>
      </c>
      <c r="J302" s="24">
        <f>MAX($J303:$J305)</f>
        <v>46268</v>
      </c>
    </row>
    <row r="303" spans="1:10" x14ac:dyDescent="0.25">
      <c r="A303" s="25" t="s">
        <v>10</v>
      </c>
      <c r="B303" s="25" t="s">
        <v>182</v>
      </c>
      <c r="C303" s="25" t="s">
        <v>54</v>
      </c>
      <c r="D303" s="25" t="s">
        <v>51</v>
      </c>
      <c r="E303" s="26">
        <v>4</v>
      </c>
      <c r="F303" s="25" t="s">
        <v>52</v>
      </c>
      <c r="G303" s="27">
        <f>$H$299</f>
        <v>27</v>
      </c>
      <c r="H303" s="27">
        <f>$G303+$E303</f>
        <v>31</v>
      </c>
      <c r="I303" s="28">
        <f>WORKDAY(Settings!$D$11,INT($G303/HoursPerDay)+1,Holidays)</f>
        <v>46265</v>
      </c>
      <c r="J303" s="28">
        <f>IF($E303=0,$I303,WORKDAY(Settings!$D$11,ROUNDUP($H303/HoursPerDay,0),Holidays))</f>
        <v>46266</v>
      </c>
    </row>
    <row r="304" spans="1:10" x14ac:dyDescent="0.25">
      <c r="A304" s="25" t="s">
        <v>10</v>
      </c>
      <c r="B304" s="25" t="s">
        <v>183</v>
      </c>
      <c r="C304" s="25" t="s">
        <v>56</v>
      </c>
      <c r="D304" s="25" t="s">
        <v>51</v>
      </c>
      <c r="E304" s="26">
        <v>1</v>
      </c>
      <c r="F304" s="25" t="s">
        <v>57</v>
      </c>
      <c r="G304" s="27">
        <f>$H$300</f>
        <v>26</v>
      </c>
      <c r="H304" s="27">
        <f>$G304+$E304</f>
        <v>27</v>
      </c>
      <c r="I304" s="28">
        <f>WORKDAY(Settings!$D$11,INT($G304/HoursPerDay)+1,Holidays)</f>
        <v>46265</v>
      </c>
      <c r="J304" s="28">
        <f>IF($E304=0,$I304,WORKDAY(Settings!$D$11,ROUNDUP($H304/HoursPerDay,0),Holidays))</f>
        <v>46265</v>
      </c>
    </row>
    <row r="305" spans="1:10" x14ac:dyDescent="0.25">
      <c r="A305" s="25" t="s">
        <v>10</v>
      </c>
      <c r="B305" s="25" t="s">
        <v>184</v>
      </c>
      <c r="C305" s="25" t="s">
        <v>59</v>
      </c>
      <c r="D305" s="25" t="s">
        <v>51</v>
      </c>
      <c r="E305" s="26">
        <v>1</v>
      </c>
      <c r="F305" s="25" t="s">
        <v>60</v>
      </c>
      <c r="G305" s="27">
        <f>$H$301</f>
        <v>42</v>
      </c>
      <c r="H305" s="27">
        <f>$G305+$E305</f>
        <v>43</v>
      </c>
      <c r="I305" s="28">
        <f>WORKDAY(Settings!$D$11,INT($G305/HoursPerDay)+1,Holidays)</f>
        <v>46268</v>
      </c>
      <c r="J305" s="28">
        <f>IF($E305=0,$I305,WORKDAY(Settings!$D$11,ROUNDUP($H305/HoursPerDay,0),Holidays))</f>
        <v>46268</v>
      </c>
    </row>
    <row r="306" spans="1:10" x14ac:dyDescent="0.25">
      <c r="A306" s="22" t="s">
        <v>10</v>
      </c>
      <c r="B306" s="22" t="s">
        <v>185</v>
      </c>
      <c r="C306" s="22" t="s">
        <v>357</v>
      </c>
      <c r="D306" s="22" t="s">
        <v>48</v>
      </c>
      <c r="E306" s="23">
        <f>SUMIF($D307:$D309,"Task",$E307:$E309)</f>
        <v>10</v>
      </c>
      <c r="F306" s="22"/>
      <c r="G306" s="23"/>
      <c r="H306" s="23"/>
      <c r="I306" s="24">
        <f>MIN($I307:$I309)</f>
        <v>46265</v>
      </c>
      <c r="J306" s="24">
        <f>MAX($J307:$J309)</f>
        <v>46268</v>
      </c>
    </row>
    <row r="307" spans="1:10" x14ac:dyDescent="0.25">
      <c r="A307" s="25" t="s">
        <v>10</v>
      </c>
      <c r="B307" s="25" t="s">
        <v>358</v>
      </c>
      <c r="C307" s="25" t="s">
        <v>54</v>
      </c>
      <c r="D307" s="25" t="s">
        <v>51</v>
      </c>
      <c r="E307" s="26">
        <v>3</v>
      </c>
      <c r="F307" s="25" t="s">
        <v>52</v>
      </c>
      <c r="G307" s="27">
        <f>$H$303</f>
        <v>31</v>
      </c>
      <c r="H307" s="27">
        <f>$G307+$E307</f>
        <v>34</v>
      </c>
      <c r="I307" s="28">
        <f>WORKDAY(Settings!$D$11,INT($G307/HoursPerDay)+1,Holidays)</f>
        <v>46266</v>
      </c>
      <c r="J307" s="28">
        <f>IF($E307=0,$I307,WORKDAY(Settings!$D$11,ROUNDUP($H307/HoursPerDay,0),Holidays))</f>
        <v>46266</v>
      </c>
    </row>
    <row r="308" spans="1:10" x14ac:dyDescent="0.25">
      <c r="A308" s="25" t="s">
        <v>10</v>
      </c>
      <c r="B308" s="25" t="s">
        <v>187</v>
      </c>
      <c r="C308" s="25" t="s">
        <v>56</v>
      </c>
      <c r="D308" s="25" t="s">
        <v>51</v>
      </c>
      <c r="E308" s="26">
        <v>3</v>
      </c>
      <c r="F308" s="25" t="s">
        <v>57</v>
      </c>
      <c r="G308" s="27">
        <f>$H$304</f>
        <v>27</v>
      </c>
      <c r="H308" s="27">
        <f>$G308+$E308</f>
        <v>30</v>
      </c>
      <c r="I308" s="28">
        <f>WORKDAY(Settings!$D$11,INT($G308/HoursPerDay)+1,Holidays)</f>
        <v>46265</v>
      </c>
      <c r="J308" s="28">
        <f>IF($E308=0,$I308,WORKDAY(Settings!$D$11,ROUNDUP($H308/HoursPerDay,0),Holidays))</f>
        <v>46266</v>
      </c>
    </row>
    <row r="309" spans="1:10" x14ac:dyDescent="0.25">
      <c r="A309" s="25" t="s">
        <v>10</v>
      </c>
      <c r="B309" s="25" t="s">
        <v>188</v>
      </c>
      <c r="C309" s="25" t="s">
        <v>59</v>
      </c>
      <c r="D309" s="25" t="s">
        <v>51</v>
      </c>
      <c r="E309" s="26">
        <v>4</v>
      </c>
      <c r="F309" s="25" t="s">
        <v>60</v>
      </c>
      <c r="G309" s="27">
        <f>$H$305</f>
        <v>43</v>
      </c>
      <c r="H309" s="27">
        <f>$G309+$E309</f>
        <v>47</v>
      </c>
      <c r="I309" s="28">
        <f>WORKDAY(Settings!$D$11,INT($G309/HoursPerDay)+1,Holidays)</f>
        <v>46268</v>
      </c>
      <c r="J309" s="28">
        <f>IF($E309=0,$I309,WORKDAY(Settings!$D$11,ROUNDUP($H309/HoursPerDay,0),Holidays))</f>
        <v>46268</v>
      </c>
    </row>
    <row r="310" spans="1:10" x14ac:dyDescent="0.25">
      <c r="A310" s="22" t="s">
        <v>10</v>
      </c>
      <c r="B310" s="22" t="s">
        <v>189</v>
      </c>
      <c r="C310" s="22" t="s">
        <v>359</v>
      </c>
      <c r="D310" s="22" t="s">
        <v>48</v>
      </c>
      <c r="E310" s="23">
        <f>SUMIF($D311:$D313,"Task",$E311:$E313)</f>
        <v>0</v>
      </c>
      <c r="F310" s="22"/>
      <c r="G310" s="23"/>
      <c r="H310" s="23"/>
      <c r="I310" s="24">
        <f>MIN($I311:$I313)</f>
        <v>46266</v>
      </c>
      <c r="J310" s="24">
        <f>MAX($J311:$J313)</f>
        <v>46268</v>
      </c>
    </row>
    <row r="311" spans="1:10" x14ac:dyDescent="0.25">
      <c r="A311" s="25" t="s">
        <v>10</v>
      </c>
      <c r="B311" s="25" t="s">
        <v>191</v>
      </c>
      <c r="C311" s="25" t="s">
        <v>54</v>
      </c>
      <c r="D311" s="25" t="s">
        <v>51</v>
      </c>
      <c r="E311" s="26">
        <v>0</v>
      </c>
      <c r="F311" s="25" t="s">
        <v>52</v>
      </c>
      <c r="G311" s="27">
        <f>$H$307</f>
        <v>34</v>
      </c>
      <c r="H311" s="27">
        <f>$G311+$E311</f>
        <v>34</v>
      </c>
      <c r="I311" s="28">
        <f>WORKDAY(Settings!$D$11,INT($G311/HoursPerDay)+1,Holidays)</f>
        <v>46266</v>
      </c>
      <c r="J311" s="28">
        <f>IF($E311=0,$I311,WORKDAY(Settings!$D$11,ROUNDUP($H311/HoursPerDay,0),Holidays))</f>
        <v>46266</v>
      </c>
    </row>
    <row r="312" spans="1:10" x14ac:dyDescent="0.25">
      <c r="A312" s="25" t="s">
        <v>10</v>
      </c>
      <c r="B312" s="25" t="s">
        <v>192</v>
      </c>
      <c r="C312" s="25" t="s">
        <v>56</v>
      </c>
      <c r="D312" s="25" t="s">
        <v>51</v>
      </c>
      <c r="E312" s="26">
        <v>0</v>
      </c>
      <c r="F312" s="25" t="s">
        <v>57</v>
      </c>
      <c r="G312" s="27">
        <f>$H$308</f>
        <v>30</v>
      </c>
      <c r="H312" s="27">
        <f>$G312+$E312</f>
        <v>30</v>
      </c>
      <c r="I312" s="28">
        <f>WORKDAY(Settings!$D$11,INT($G312/HoursPerDay)+1,Holidays)</f>
        <v>46266</v>
      </c>
      <c r="J312" s="28">
        <f>IF($E312=0,$I312,WORKDAY(Settings!$D$11,ROUNDUP($H312/HoursPerDay,0),Holidays))</f>
        <v>46266</v>
      </c>
    </row>
    <row r="313" spans="1:10" x14ac:dyDescent="0.25">
      <c r="A313" s="25" t="s">
        <v>10</v>
      </c>
      <c r="B313" s="25" t="s">
        <v>193</v>
      </c>
      <c r="C313" s="25" t="s">
        <v>59</v>
      </c>
      <c r="D313" s="25" t="s">
        <v>51</v>
      </c>
      <c r="E313" s="26">
        <v>0</v>
      </c>
      <c r="F313" s="25" t="s">
        <v>60</v>
      </c>
      <c r="G313" s="27">
        <f>$H$309</f>
        <v>47</v>
      </c>
      <c r="H313" s="27">
        <f>$G313+$E313</f>
        <v>47</v>
      </c>
      <c r="I313" s="28">
        <f>WORKDAY(Settings!$D$11,INT($G313/HoursPerDay)+1,Holidays)</f>
        <v>46268</v>
      </c>
      <c r="J313" s="28">
        <f>IF($E313=0,$I313,WORKDAY(Settings!$D$11,ROUNDUP($H313/HoursPerDay,0),Holidays))</f>
        <v>46268</v>
      </c>
    </row>
    <row r="314" spans="1:10" x14ac:dyDescent="0.25">
      <c r="A314" s="19" t="s">
        <v>10</v>
      </c>
      <c r="B314" s="19" t="s">
        <v>205</v>
      </c>
      <c r="C314" s="19" t="s">
        <v>360</v>
      </c>
      <c r="D314" s="19" t="s">
        <v>45</v>
      </c>
      <c r="E314" s="20">
        <f>SUMIF($D315:$D335,"Task",$E315:$E335)</f>
        <v>54</v>
      </c>
      <c r="F314" s="19"/>
      <c r="G314" s="20"/>
      <c r="H314" s="20"/>
      <c r="I314" s="21">
        <f>MIN($I315:$I335)</f>
        <v>46266</v>
      </c>
      <c r="J314" s="21">
        <f>MAX($J315:$J335)</f>
        <v>46272</v>
      </c>
    </row>
    <row r="315" spans="1:10" x14ac:dyDescent="0.25">
      <c r="A315" s="22" t="s">
        <v>10</v>
      </c>
      <c r="B315" s="22" t="s">
        <v>207</v>
      </c>
      <c r="C315" s="22" t="s">
        <v>361</v>
      </c>
      <c r="D315" s="22" t="s">
        <v>48</v>
      </c>
      <c r="E315" s="23">
        <f>SUMIF($D316:$D319,"Task",$E316:$E319)</f>
        <v>26</v>
      </c>
      <c r="F315" s="22"/>
      <c r="G315" s="23"/>
      <c r="H315" s="23"/>
      <c r="I315" s="24">
        <f>MIN($I316:$I319)</f>
        <v>46266</v>
      </c>
      <c r="J315" s="24">
        <f>MAX($J316:$J319)</f>
        <v>46269</v>
      </c>
    </row>
    <row r="316" spans="1:10" x14ac:dyDescent="0.25">
      <c r="A316" s="25" t="s">
        <v>10</v>
      </c>
      <c r="B316" s="25" t="s">
        <v>209</v>
      </c>
      <c r="C316" s="25" t="s">
        <v>50</v>
      </c>
      <c r="D316" s="25" t="s">
        <v>51</v>
      </c>
      <c r="E316" s="26">
        <v>6</v>
      </c>
      <c r="F316" s="25" t="s">
        <v>78</v>
      </c>
      <c r="G316" s="27">
        <f>$H$298</f>
        <v>38</v>
      </c>
      <c r="H316" s="27">
        <f>$G316+$E316</f>
        <v>44</v>
      </c>
      <c r="I316" s="28">
        <f>WORKDAY(Settings!$D$11,INT($G316/HoursPerDay)+1,Holidays)</f>
        <v>46267</v>
      </c>
      <c r="J316" s="28">
        <f>IF($E316=0,$I316,WORKDAY(Settings!$D$11,ROUNDUP($H316/HoursPerDay,0),Holidays))</f>
        <v>46268</v>
      </c>
    </row>
    <row r="317" spans="1:10" x14ac:dyDescent="0.25">
      <c r="A317" s="25" t="s">
        <v>10</v>
      </c>
      <c r="B317" s="25" t="s">
        <v>210</v>
      </c>
      <c r="C317" s="25" t="s">
        <v>54</v>
      </c>
      <c r="D317" s="25" t="s">
        <v>51</v>
      </c>
      <c r="E317" s="26">
        <v>8</v>
      </c>
      <c r="F317" s="25" t="s">
        <v>52</v>
      </c>
      <c r="G317" s="27">
        <f>$H$311</f>
        <v>34</v>
      </c>
      <c r="H317" s="27">
        <f>$G317+$E317</f>
        <v>42</v>
      </c>
      <c r="I317" s="28">
        <f>WORKDAY(Settings!$D$11,INT($G317/HoursPerDay)+1,Holidays)</f>
        <v>46266</v>
      </c>
      <c r="J317" s="28">
        <f>IF($E317=0,$I317,WORKDAY(Settings!$D$11,ROUNDUP($H317/HoursPerDay,0),Holidays))</f>
        <v>46267</v>
      </c>
    </row>
    <row r="318" spans="1:10" x14ac:dyDescent="0.25">
      <c r="A318" s="25" t="s">
        <v>10</v>
      </c>
      <c r="B318" s="25" t="s">
        <v>211</v>
      </c>
      <c r="C318" s="25" t="s">
        <v>56</v>
      </c>
      <c r="D318" s="25" t="s">
        <v>51</v>
      </c>
      <c r="E318" s="26">
        <v>6</v>
      </c>
      <c r="F318" s="25" t="s">
        <v>57</v>
      </c>
      <c r="G318" s="27">
        <f>$H$312</f>
        <v>30</v>
      </c>
      <c r="H318" s="27">
        <f>$G318+$E318</f>
        <v>36</v>
      </c>
      <c r="I318" s="28">
        <f>WORKDAY(Settings!$D$11,INT($G318/HoursPerDay)+1,Holidays)</f>
        <v>46266</v>
      </c>
      <c r="J318" s="28">
        <f>IF($E318=0,$I318,WORKDAY(Settings!$D$11,ROUNDUP($H318/HoursPerDay,0),Holidays))</f>
        <v>46267</v>
      </c>
    </row>
    <row r="319" spans="1:10" x14ac:dyDescent="0.25">
      <c r="A319" s="25" t="s">
        <v>10</v>
      </c>
      <c r="B319" s="25" t="s">
        <v>362</v>
      </c>
      <c r="C319" s="25" t="s">
        <v>59</v>
      </c>
      <c r="D319" s="25" t="s">
        <v>51</v>
      </c>
      <c r="E319" s="26">
        <v>6</v>
      </c>
      <c r="F319" s="25" t="s">
        <v>60</v>
      </c>
      <c r="G319" s="27">
        <f>$H$313</f>
        <v>47</v>
      </c>
      <c r="H319" s="27">
        <f>$G319+$E319</f>
        <v>53</v>
      </c>
      <c r="I319" s="28">
        <f>WORKDAY(Settings!$D$11,INT($G319/HoursPerDay)+1,Holidays)</f>
        <v>46268</v>
      </c>
      <c r="J319" s="28">
        <f>IF($E319=0,$I319,WORKDAY(Settings!$D$11,ROUNDUP($H319/HoursPerDay,0),Holidays))</f>
        <v>46269</v>
      </c>
    </row>
    <row r="320" spans="1:10" x14ac:dyDescent="0.25">
      <c r="A320" s="22" t="s">
        <v>10</v>
      </c>
      <c r="B320" s="22" t="s">
        <v>212</v>
      </c>
      <c r="C320" s="22" t="s">
        <v>363</v>
      </c>
      <c r="D320" s="22" t="s">
        <v>48</v>
      </c>
      <c r="E320" s="23">
        <f>SUMIF($D321:$D323,"Task",$E321:$E323)</f>
        <v>4</v>
      </c>
      <c r="F320" s="22"/>
      <c r="G320" s="23"/>
      <c r="H320" s="23"/>
      <c r="I320" s="24">
        <f>MIN($I321:$I323)</f>
        <v>46267</v>
      </c>
      <c r="J320" s="24">
        <f>MAX($J321:$J323)</f>
        <v>46269</v>
      </c>
    </row>
    <row r="321" spans="1:10" x14ac:dyDescent="0.25">
      <c r="A321" s="25" t="s">
        <v>10</v>
      </c>
      <c r="B321" s="25" t="s">
        <v>214</v>
      </c>
      <c r="C321" s="25" t="s">
        <v>54</v>
      </c>
      <c r="D321" s="25" t="s">
        <v>51</v>
      </c>
      <c r="E321" s="26">
        <v>2</v>
      </c>
      <c r="F321" s="25" t="s">
        <v>52</v>
      </c>
      <c r="G321" s="27">
        <f>$H$317</f>
        <v>42</v>
      </c>
      <c r="H321" s="27">
        <f>$G321+$E321</f>
        <v>44</v>
      </c>
      <c r="I321" s="28">
        <f>WORKDAY(Settings!$D$11,INT($G321/HoursPerDay)+1,Holidays)</f>
        <v>46268</v>
      </c>
      <c r="J321" s="28">
        <f>IF($E321=0,$I321,WORKDAY(Settings!$D$11,ROUNDUP($H321/HoursPerDay,0),Holidays))</f>
        <v>46268</v>
      </c>
    </row>
    <row r="322" spans="1:10" x14ac:dyDescent="0.25">
      <c r="A322" s="25" t="s">
        <v>10</v>
      </c>
      <c r="B322" s="25" t="s">
        <v>215</v>
      </c>
      <c r="C322" s="25" t="s">
        <v>56</v>
      </c>
      <c r="D322" s="25" t="s">
        <v>51</v>
      </c>
      <c r="E322" s="26">
        <v>1</v>
      </c>
      <c r="F322" s="25" t="s">
        <v>57</v>
      </c>
      <c r="G322" s="27">
        <f>$H$318</f>
        <v>36</v>
      </c>
      <c r="H322" s="27">
        <f>$G322+$E322</f>
        <v>37</v>
      </c>
      <c r="I322" s="28">
        <f>WORKDAY(Settings!$D$11,INT($G322/HoursPerDay)+1,Holidays)</f>
        <v>46267</v>
      </c>
      <c r="J322" s="28">
        <f>IF($E322=0,$I322,WORKDAY(Settings!$D$11,ROUNDUP($H322/HoursPerDay,0),Holidays))</f>
        <v>46267</v>
      </c>
    </row>
    <row r="323" spans="1:10" x14ac:dyDescent="0.25">
      <c r="A323" s="25" t="s">
        <v>10</v>
      </c>
      <c r="B323" s="25" t="s">
        <v>216</v>
      </c>
      <c r="C323" s="25" t="s">
        <v>59</v>
      </c>
      <c r="D323" s="25" t="s">
        <v>51</v>
      </c>
      <c r="E323" s="26">
        <v>1</v>
      </c>
      <c r="F323" s="25" t="s">
        <v>60</v>
      </c>
      <c r="G323" s="27">
        <f>$H$319</f>
        <v>53</v>
      </c>
      <c r="H323" s="27">
        <f>$G323+$E323</f>
        <v>54</v>
      </c>
      <c r="I323" s="28">
        <f>WORKDAY(Settings!$D$11,INT($G323/HoursPerDay)+1,Holidays)</f>
        <v>46269</v>
      </c>
      <c r="J323" s="28">
        <f>IF($E323=0,$I323,WORKDAY(Settings!$D$11,ROUNDUP($H323/HoursPerDay,0),Holidays))</f>
        <v>46269</v>
      </c>
    </row>
    <row r="324" spans="1:10" x14ac:dyDescent="0.25">
      <c r="A324" s="22" t="s">
        <v>10</v>
      </c>
      <c r="B324" s="22" t="s">
        <v>217</v>
      </c>
      <c r="C324" s="22" t="s">
        <v>364</v>
      </c>
      <c r="D324" s="22" t="s">
        <v>48</v>
      </c>
      <c r="E324" s="23">
        <f>SUMIF($D325:$D327,"Task",$E325:$E327)</f>
        <v>2</v>
      </c>
      <c r="F324" s="22"/>
      <c r="G324" s="23"/>
      <c r="H324" s="23"/>
      <c r="I324" s="24">
        <f>MIN($I325:$I327)</f>
        <v>46267</v>
      </c>
      <c r="J324" s="24">
        <f>MAX($J325:$J327)</f>
        <v>46269</v>
      </c>
    </row>
    <row r="325" spans="1:10" x14ac:dyDescent="0.25">
      <c r="A325" s="25" t="s">
        <v>10</v>
      </c>
      <c r="B325" s="25" t="s">
        <v>219</v>
      </c>
      <c r="C325" s="25" t="s">
        <v>54</v>
      </c>
      <c r="D325" s="25" t="s">
        <v>51</v>
      </c>
      <c r="E325" s="26">
        <v>2</v>
      </c>
      <c r="F325" s="25" t="s">
        <v>52</v>
      </c>
      <c r="G325" s="27">
        <f>$H$321</f>
        <v>44</v>
      </c>
      <c r="H325" s="27">
        <f>$G325+$E325</f>
        <v>46</v>
      </c>
      <c r="I325" s="28">
        <f>WORKDAY(Settings!$D$11,INT($G325/HoursPerDay)+1,Holidays)</f>
        <v>46268</v>
      </c>
      <c r="J325" s="28">
        <f>IF($E325=0,$I325,WORKDAY(Settings!$D$11,ROUNDUP($H325/HoursPerDay,0),Holidays))</f>
        <v>46268</v>
      </c>
    </row>
    <row r="326" spans="1:10" x14ac:dyDescent="0.25">
      <c r="A326" s="25" t="s">
        <v>10</v>
      </c>
      <c r="B326" s="25" t="s">
        <v>220</v>
      </c>
      <c r="C326" s="25" t="s">
        <v>56</v>
      </c>
      <c r="D326" s="25" t="s">
        <v>51</v>
      </c>
      <c r="E326" s="26">
        <v>0</v>
      </c>
      <c r="F326" s="25" t="s">
        <v>57</v>
      </c>
      <c r="G326" s="27">
        <f>$H$322</f>
        <v>37</v>
      </c>
      <c r="H326" s="27">
        <f>$G326+$E326</f>
        <v>37</v>
      </c>
      <c r="I326" s="28">
        <f>WORKDAY(Settings!$D$11,INT($G326/HoursPerDay)+1,Holidays)</f>
        <v>46267</v>
      </c>
      <c r="J326" s="28">
        <f>IF($E326=0,$I326,WORKDAY(Settings!$D$11,ROUNDUP($H326/HoursPerDay,0),Holidays))</f>
        <v>46267</v>
      </c>
    </row>
    <row r="327" spans="1:10" x14ac:dyDescent="0.25">
      <c r="A327" s="25" t="s">
        <v>10</v>
      </c>
      <c r="B327" s="25" t="s">
        <v>221</v>
      </c>
      <c r="C327" s="25" t="s">
        <v>59</v>
      </c>
      <c r="D327" s="25" t="s">
        <v>51</v>
      </c>
      <c r="E327" s="26">
        <v>0</v>
      </c>
      <c r="F327" s="25" t="s">
        <v>60</v>
      </c>
      <c r="G327" s="27">
        <f>$H$323</f>
        <v>54</v>
      </c>
      <c r="H327" s="27">
        <f>$G327+$E327</f>
        <v>54</v>
      </c>
      <c r="I327" s="28">
        <f>WORKDAY(Settings!$D$11,INT($G327/HoursPerDay)+1,Holidays)</f>
        <v>46269</v>
      </c>
      <c r="J327" s="28">
        <f>IF($E327=0,$I327,WORKDAY(Settings!$D$11,ROUNDUP($H327/HoursPerDay,0),Holidays))</f>
        <v>46269</v>
      </c>
    </row>
    <row r="328" spans="1:10" x14ac:dyDescent="0.25">
      <c r="A328" s="22" t="s">
        <v>10</v>
      </c>
      <c r="B328" s="22" t="s">
        <v>222</v>
      </c>
      <c r="C328" s="22" t="s">
        <v>365</v>
      </c>
      <c r="D328" s="22" t="s">
        <v>48</v>
      </c>
      <c r="E328" s="23">
        <f>SUMIF($D329:$D331,"Task",$E329:$E331)</f>
        <v>16</v>
      </c>
      <c r="F328" s="22"/>
      <c r="G328" s="23"/>
      <c r="H328" s="23"/>
      <c r="I328" s="24">
        <f>MIN($I329:$I331)</f>
        <v>46267</v>
      </c>
      <c r="J328" s="24">
        <f>MAX($J329:$J331)</f>
        <v>46272</v>
      </c>
    </row>
    <row r="329" spans="1:10" x14ac:dyDescent="0.25">
      <c r="A329" s="25" t="s">
        <v>10</v>
      </c>
      <c r="B329" s="25" t="s">
        <v>224</v>
      </c>
      <c r="C329" s="25" t="s">
        <v>54</v>
      </c>
      <c r="D329" s="25" t="s">
        <v>51</v>
      </c>
      <c r="E329" s="26">
        <v>6</v>
      </c>
      <c r="F329" s="25" t="s">
        <v>52</v>
      </c>
      <c r="G329" s="27">
        <f>$H$325</f>
        <v>46</v>
      </c>
      <c r="H329" s="27">
        <f>$G329+$E329</f>
        <v>52</v>
      </c>
      <c r="I329" s="28">
        <f>WORKDAY(Settings!$D$11,INT($G329/HoursPerDay)+1,Holidays)</f>
        <v>46268</v>
      </c>
      <c r="J329" s="28">
        <f>IF($E329=0,$I329,WORKDAY(Settings!$D$11,ROUNDUP($H329/HoursPerDay,0),Holidays))</f>
        <v>46269</v>
      </c>
    </row>
    <row r="330" spans="1:10" x14ac:dyDescent="0.25">
      <c r="A330" s="25" t="s">
        <v>10</v>
      </c>
      <c r="B330" s="25" t="s">
        <v>225</v>
      </c>
      <c r="C330" s="25" t="s">
        <v>56</v>
      </c>
      <c r="D330" s="25" t="s">
        <v>51</v>
      </c>
      <c r="E330" s="26">
        <v>5</v>
      </c>
      <c r="F330" s="25" t="s">
        <v>57</v>
      </c>
      <c r="G330" s="27">
        <f>$H$326</f>
        <v>37</v>
      </c>
      <c r="H330" s="27">
        <f>$G330+$E330</f>
        <v>42</v>
      </c>
      <c r="I330" s="28">
        <f>WORKDAY(Settings!$D$11,INT($G330/HoursPerDay)+1,Holidays)</f>
        <v>46267</v>
      </c>
      <c r="J330" s="28">
        <f>IF($E330=0,$I330,WORKDAY(Settings!$D$11,ROUNDUP($H330/HoursPerDay,0),Holidays))</f>
        <v>46267</v>
      </c>
    </row>
    <row r="331" spans="1:10" x14ac:dyDescent="0.25">
      <c r="A331" s="25" t="s">
        <v>10</v>
      </c>
      <c r="B331" s="25" t="s">
        <v>226</v>
      </c>
      <c r="C331" s="25" t="s">
        <v>59</v>
      </c>
      <c r="D331" s="25" t="s">
        <v>51</v>
      </c>
      <c r="E331" s="26">
        <v>5</v>
      </c>
      <c r="F331" s="25" t="s">
        <v>60</v>
      </c>
      <c r="G331" s="27">
        <f>$H$327</f>
        <v>54</v>
      </c>
      <c r="H331" s="27">
        <f>$G331+$E331</f>
        <v>59</v>
      </c>
      <c r="I331" s="28">
        <f>WORKDAY(Settings!$D$11,INT($G331/HoursPerDay)+1,Holidays)</f>
        <v>46269</v>
      </c>
      <c r="J331" s="28">
        <f>IF($E331=0,$I331,WORKDAY(Settings!$D$11,ROUNDUP($H331/HoursPerDay,0),Holidays))</f>
        <v>46272</v>
      </c>
    </row>
    <row r="332" spans="1:10" x14ac:dyDescent="0.25">
      <c r="A332" s="22" t="s">
        <v>10</v>
      </c>
      <c r="B332" s="22" t="s">
        <v>366</v>
      </c>
      <c r="C332" s="22" t="s">
        <v>367</v>
      </c>
      <c r="D332" s="22" t="s">
        <v>48</v>
      </c>
      <c r="E332" s="23">
        <f>SUMIF($D333:$D335,"Task",$E333:$E335)</f>
        <v>6</v>
      </c>
      <c r="F332" s="22"/>
      <c r="G332" s="23"/>
      <c r="H332" s="23"/>
      <c r="I332" s="24">
        <f>MIN($I333:$I335)</f>
        <v>46268</v>
      </c>
      <c r="J332" s="24">
        <f>MAX($J333:$J335)</f>
        <v>46272</v>
      </c>
    </row>
    <row r="333" spans="1:10" x14ac:dyDescent="0.25">
      <c r="A333" s="25" t="s">
        <v>10</v>
      </c>
      <c r="B333" s="25" t="s">
        <v>368</v>
      </c>
      <c r="C333" s="25" t="s">
        <v>54</v>
      </c>
      <c r="D333" s="25" t="s">
        <v>51</v>
      </c>
      <c r="E333" s="26">
        <v>2</v>
      </c>
      <c r="F333" s="25" t="s">
        <v>52</v>
      </c>
      <c r="G333" s="27">
        <f>$H$329</f>
        <v>52</v>
      </c>
      <c r="H333" s="27">
        <f>$G333+$E333</f>
        <v>54</v>
      </c>
      <c r="I333" s="28">
        <f>WORKDAY(Settings!$D$11,INT($G333/HoursPerDay)+1,Holidays)</f>
        <v>46269</v>
      </c>
      <c r="J333" s="28">
        <f>IF($E333=0,$I333,WORKDAY(Settings!$D$11,ROUNDUP($H333/HoursPerDay,0),Holidays))</f>
        <v>46269</v>
      </c>
    </row>
    <row r="334" spans="1:10" x14ac:dyDescent="0.25">
      <c r="A334" s="25" t="s">
        <v>10</v>
      </c>
      <c r="B334" s="25" t="s">
        <v>369</v>
      </c>
      <c r="C334" s="25" t="s">
        <v>56</v>
      </c>
      <c r="D334" s="25" t="s">
        <v>51</v>
      </c>
      <c r="E334" s="26">
        <v>2</v>
      </c>
      <c r="F334" s="25" t="s">
        <v>57</v>
      </c>
      <c r="G334" s="27">
        <f>$H$330</f>
        <v>42</v>
      </c>
      <c r="H334" s="27">
        <f>$G334+$E334</f>
        <v>44</v>
      </c>
      <c r="I334" s="28">
        <f>WORKDAY(Settings!$D$11,INT($G334/HoursPerDay)+1,Holidays)</f>
        <v>46268</v>
      </c>
      <c r="J334" s="28">
        <f>IF($E334=0,$I334,WORKDAY(Settings!$D$11,ROUNDUP($H334/HoursPerDay,0),Holidays))</f>
        <v>46268</v>
      </c>
    </row>
    <row r="335" spans="1:10" x14ac:dyDescent="0.25">
      <c r="A335" s="25" t="s">
        <v>10</v>
      </c>
      <c r="B335" s="25" t="s">
        <v>370</v>
      </c>
      <c r="C335" s="25" t="s">
        <v>59</v>
      </c>
      <c r="D335" s="25" t="s">
        <v>51</v>
      </c>
      <c r="E335" s="26">
        <v>2</v>
      </c>
      <c r="F335" s="25" t="s">
        <v>60</v>
      </c>
      <c r="G335" s="27">
        <f>$H$331</f>
        <v>59</v>
      </c>
      <c r="H335" s="27">
        <f>$G335+$E335</f>
        <v>61</v>
      </c>
      <c r="I335" s="28">
        <f>WORKDAY(Settings!$D$11,INT($G335/HoursPerDay)+1,Holidays)</f>
        <v>46272</v>
      </c>
      <c r="J335" s="28">
        <f>IF($E335=0,$I335,WORKDAY(Settings!$D$11,ROUNDUP($H335/HoursPerDay,0),Holidays))</f>
        <v>46272</v>
      </c>
    </row>
    <row r="336" spans="1:10" x14ac:dyDescent="0.25">
      <c r="A336" s="19" t="s">
        <v>10</v>
      </c>
      <c r="B336" s="19" t="s">
        <v>227</v>
      </c>
      <c r="C336" s="19" t="s">
        <v>371</v>
      </c>
      <c r="D336" s="19" t="s">
        <v>45</v>
      </c>
      <c r="E336" s="20">
        <f>SUMIF($D337:$D353,"Task",$E337:$E353)</f>
        <v>33</v>
      </c>
      <c r="F336" s="19"/>
      <c r="G336" s="20"/>
      <c r="H336" s="20"/>
      <c r="I336" s="21">
        <f>MIN($I337:$I353)</f>
        <v>46268</v>
      </c>
      <c r="J336" s="21">
        <f>MAX($J337:$J353)</f>
        <v>46273</v>
      </c>
    </row>
    <row r="337" spans="1:10" x14ac:dyDescent="0.25">
      <c r="A337" s="22" t="s">
        <v>10</v>
      </c>
      <c r="B337" s="22" t="s">
        <v>229</v>
      </c>
      <c r="C337" s="22" t="s">
        <v>372</v>
      </c>
      <c r="D337" s="22" t="s">
        <v>48</v>
      </c>
      <c r="E337" s="23">
        <f>SUMIF($D338:$D341,"Task",$E338:$E341)</f>
        <v>16</v>
      </c>
      <c r="F337" s="22"/>
      <c r="G337" s="23"/>
      <c r="H337" s="23"/>
      <c r="I337" s="24">
        <f>MIN($I338:$I341)</f>
        <v>46268</v>
      </c>
      <c r="J337" s="24">
        <f>MAX($J338:$J341)</f>
        <v>46273</v>
      </c>
    </row>
    <row r="338" spans="1:10" x14ac:dyDescent="0.25">
      <c r="A338" s="25" t="s">
        <v>10</v>
      </c>
      <c r="B338" s="25" t="s">
        <v>231</v>
      </c>
      <c r="C338" s="25" t="s">
        <v>50</v>
      </c>
      <c r="D338" s="25" t="s">
        <v>51</v>
      </c>
      <c r="E338" s="26">
        <v>4</v>
      </c>
      <c r="F338" s="25" t="s">
        <v>78</v>
      </c>
      <c r="G338" s="27">
        <f>$H$316</f>
        <v>44</v>
      </c>
      <c r="H338" s="27">
        <f>$G338+$E338</f>
        <v>48</v>
      </c>
      <c r="I338" s="28">
        <f>WORKDAY(Settings!$D$11,INT($G338/HoursPerDay)+1,Holidays)</f>
        <v>46268</v>
      </c>
      <c r="J338" s="28">
        <f>IF($E338=0,$I338,WORKDAY(Settings!$D$11,ROUNDUP($H338/HoursPerDay,0),Holidays))</f>
        <v>46268</v>
      </c>
    </row>
    <row r="339" spans="1:10" x14ac:dyDescent="0.25">
      <c r="A339" s="25" t="s">
        <v>10</v>
      </c>
      <c r="B339" s="25" t="s">
        <v>232</v>
      </c>
      <c r="C339" s="25" t="s">
        <v>54</v>
      </c>
      <c r="D339" s="25" t="s">
        <v>51</v>
      </c>
      <c r="E339" s="26">
        <v>4</v>
      </c>
      <c r="F339" s="25" t="s">
        <v>52</v>
      </c>
      <c r="G339" s="27">
        <f>$H$333</f>
        <v>54</v>
      </c>
      <c r="H339" s="27">
        <f>$G339+$E339</f>
        <v>58</v>
      </c>
      <c r="I339" s="28">
        <f>WORKDAY(Settings!$D$11,INT($G339/HoursPerDay)+1,Holidays)</f>
        <v>46269</v>
      </c>
      <c r="J339" s="28">
        <f>IF($E339=0,$I339,WORKDAY(Settings!$D$11,ROUNDUP($H339/HoursPerDay,0),Holidays))</f>
        <v>46272</v>
      </c>
    </row>
    <row r="340" spans="1:10" x14ac:dyDescent="0.25">
      <c r="A340" s="25" t="s">
        <v>10</v>
      </c>
      <c r="B340" s="25" t="s">
        <v>233</v>
      </c>
      <c r="C340" s="25" t="s">
        <v>56</v>
      </c>
      <c r="D340" s="25" t="s">
        <v>51</v>
      </c>
      <c r="E340" s="26">
        <v>4</v>
      </c>
      <c r="F340" s="25" t="s">
        <v>57</v>
      </c>
      <c r="G340" s="27">
        <f>$H$334</f>
        <v>44</v>
      </c>
      <c r="H340" s="27">
        <f>$G340+$E340</f>
        <v>48</v>
      </c>
      <c r="I340" s="28">
        <f>WORKDAY(Settings!$D$11,INT($G340/HoursPerDay)+1,Holidays)</f>
        <v>46268</v>
      </c>
      <c r="J340" s="28">
        <f>IF($E340=0,$I340,WORKDAY(Settings!$D$11,ROUNDUP($H340/HoursPerDay,0),Holidays))</f>
        <v>46268</v>
      </c>
    </row>
    <row r="341" spans="1:10" x14ac:dyDescent="0.25">
      <c r="A341" s="25" t="s">
        <v>10</v>
      </c>
      <c r="B341" s="25" t="s">
        <v>373</v>
      </c>
      <c r="C341" s="25" t="s">
        <v>59</v>
      </c>
      <c r="D341" s="25" t="s">
        <v>51</v>
      </c>
      <c r="E341" s="26">
        <v>4</v>
      </c>
      <c r="F341" s="25" t="s">
        <v>60</v>
      </c>
      <c r="G341" s="27">
        <f>$H$335</f>
        <v>61</v>
      </c>
      <c r="H341" s="27">
        <f>$G341+$E341</f>
        <v>65</v>
      </c>
      <c r="I341" s="28">
        <f>WORKDAY(Settings!$D$11,INT($G341/HoursPerDay)+1,Holidays)</f>
        <v>46272</v>
      </c>
      <c r="J341" s="28">
        <f>IF($E341=0,$I341,WORKDAY(Settings!$D$11,ROUNDUP($H341/HoursPerDay,0),Holidays))</f>
        <v>46273</v>
      </c>
    </row>
    <row r="342" spans="1:10" x14ac:dyDescent="0.25">
      <c r="A342" s="22" t="s">
        <v>10</v>
      </c>
      <c r="B342" s="22" t="s">
        <v>234</v>
      </c>
      <c r="C342" s="22" t="s">
        <v>374</v>
      </c>
      <c r="D342" s="22" t="s">
        <v>48</v>
      </c>
      <c r="E342" s="23">
        <f>SUMIF($D343:$D345,"Task",$E343:$E345)</f>
        <v>6</v>
      </c>
      <c r="F342" s="22"/>
      <c r="G342" s="23"/>
      <c r="H342" s="23"/>
      <c r="I342" s="24">
        <f>MIN($I343:$I345)</f>
        <v>46268</v>
      </c>
      <c r="J342" s="24">
        <f>MAX($J343:$J345)</f>
        <v>46273</v>
      </c>
    </row>
    <row r="343" spans="1:10" x14ac:dyDescent="0.25">
      <c r="A343" s="25" t="s">
        <v>10</v>
      </c>
      <c r="B343" s="25" t="s">
        <v>236</v>
      </c>
      <c r="C343" s="25" t="s">
        <v>54</v>
      </c>
      <c r="D343" s="25" t="s">
        <v>51</v>
      </c>
      <c r="E343" s="26">
        <v>2</v>
      </c>
      <c r="F343" s="25" t="s">
        <v>52</v>
      </c>
      <c r="G343" s="27">
        <f>$H$339</f>
        <v>58</v>
      </c>
      <c r="H343" s="27">
        <f>$G343+$E343</f>
        <v>60</v>
      </c>
      <c r="I343" s="28">
        <f>WORKDAY(Settings!$D$11,INT($G343/HoursPerDay)+1,Holidays)</f>
        <v>46272</v>
      </c>
      <c r="J343" s="28">
        <f>IF($E343=0,$I343,WORKDAY(Settings!$D$11,ROUNDUP($H343/HoursPerDay,0),Holidays))</f>
        <v>46272</v>
      </c>
    </row>
    <row r="344" spans="1:10" x14ac:dyDescent="0.25">
      <c r="A344" s="25" t="s">
        <v>10</v>
      </c>
      <c r="B344" s="25" t="s">
        <v>237</v>
      </c>
      <c r="C344" s="25" t="s">
        <v>56</v>
      </c>
      <c r="D344" s="25" t="s">
        <v>51</v>
      </c>
      <c r="E344" s="26">
        <v>2</v>
      </c>
      <c r="F344" s="25" t="s">
        <v>57</v>
      </c>
      <c r="G344" s="27">
        <f>$H$340</f>
        <v>48</v>
      </c>
      <c r="H344" s="27">
        <f>$G344+$E344</f>
        <v>50</v>
      </c>
      <c r="I344" s="28">
        <f>WORKDAY(Settings!$D$11,INT($G344/HoursPerDay)+1,Holidays)</f>
        <v>46268</v>
      </c>
      <c r="J344" s="28">
        <f>IF($E344=0,$I344,WORKDAY(Settings!$D$11,ROUNDUP($H344/HoursPerDay,0),Holidays))</f>
        <v>46269</v>
      </c>
    </row>
    <row r="345" spans="1:10" x14ac:dyDescent="0.25">
      <c r="A345" s="25" t="s">
        <v>10</v>
      </c>
      <c r="B345" s="25" t="s">
        <v>238</v>
      </c>
      <c r="C345" s="25" t="s">
        <v>59</v>
      </c>
      <c r="D345" s="25" t="s">
        <v>51</v>
      </c>
      <c r="E345" s="26">
        <v>2</v>
      </c>
      <c r="F345" s="25" t="s">
        <v>60</v>
      </c>
      <c r="G345" s="27">
        <f>$H$341</f>
        <v>65</v>
      </c>
      <c r="H345" s="27">
        <f>$G345+$E345</f>
        <v>67</v>
      </c>
      <c r="I345" s="28">
        <f>WORKDAY(Settings!$D$11,INT($G345/HoursPerDay)+1,Holidays)</f>
        <v>46273</v>
      </c>
      <c r="J345" s="28">
        <f>IF($E345=0,$I345,WORKDAY(Settings!$D$11,ROUNDUP($H345/HoursPerDay,0),Holidays))</f>
        <v>46273</v>
      </c>
    </row>
    <row r="346" spans="1:10" x14ac:dyDescent="0.25">
      <c r="A346" s="22" t="s">
        <v>10</v>
      </c>
      <c r="B346" s="22" t="s">
        <v>239</v>
      </c>
      <c r="C346" s="22" t="s">
        <v>375</v>
      </c>
      <c r="D346" s="22" t="s">
        <v>48</v>
      </c>
      <c r="E346" s="23">
        <f>SUMIF($D347:$D349,"Task",$E347:$E349)</f>
        <v>5</v>
      </c>
      <c r="F346" s="22"/>
      <c r="G346" s="23"/>
      <c r="H346" s="23"/>
      <c r="I346" s="24">
        <f>MIN($I347:$I349)</f>
        <v>46269</v>
      </c>
      <c r="J346" s="24">
        <f>MAX($J347:$J349)</f>
        <v>46273</v>
      </c>
    </row>
    <row r="347" spans="1:10" x14ac:dyDescent="0.25">
      <c r="A347" s="25" t="s">
        <v>10</v>
      </c>
      <c r="B347" s="25" t="s">
        <v>241</v>
      </c>
      <c r="C347" s="25" t="s">
        <v>54</v>
      </c>
      <c r="D347" s="25" t="s">
        <v>51</v>
      </c>
      <c r="E347" s="26">
        <v>2</v>
      </c>
      <c r="F347" s="25" t="s">
        <v>52</v>
      </c>
      <c r="G347" s="27">
        <f>$H$343</f>
        <v>60</v>
      </c>
      <c r="H347" s="27">
        <f>$G347+$E347</f>
        <v>62</v>
      </c>
      <c r="I347" s="28">
        <f>WORKDAY(Settings!$D$11,INT($G347/HoursPerDay)+1,Holidays)</f>
        <v>46272</v>
      </c>
      <c r="J347" s="28">
        <f>IF($E347=0,$I347,WORKDAY(Settings!$D$11,ROUNDUP($H347/HoursPerDay,0),Holidays))</f>
        <v>46272</v>
      </c>
    </row>
    <row r="348" spans="1:10" x14ac:dyDescent="0.25">
      <c r="A348" s="25" t="s">
        <v>10</v>
      </c>
      <c r="B348" s="25" t="s">
        <v>242</v>
      </c>
      <c r="C348" s="25" t="s">
        <v>56</v>
      </c>
      <c r="D348" s="25" t="s">
        <v>51</v>
      </c>
      <c r="E348" s="26">
        <v>2</v>
      </c>
      <c r="F348" s="25" t="s">
        <v>57</v>
      </c>
      <c r="G348" s="27">
        <f>$H$344</f>
        <v>50</v>
      </c>
      <c r="H348" s="27">
        <f>$G348+$E348</f>
        <v>52</v>
      </c>
      <c r="I348" s="28">
        <f>WORKDAY(Settings!$D$11,INT($G348/HoursPerDay)+1,Holidays)</f>
        <v>46269</v>
      </c>
      <c r="J348" s="28">
        <f>IF($E348=0,$I348,WORKDAY(Settings!$D$11,ROUNDUP($H348/HoursPerDay,0),Holidays))</f>
        <v>46269</v>
      </c>
    </row>
    <row r="349" spans="1:10" x14ac:dyDescent="0.25">
      <c r="A349" s="25" t="s">
        <v>10</v>
      </c>
      <c r="B349" s="25" t="s">
        <v>243</v>
      </c>
      <c r="C349" s="25" t="s">
        <v>59</v>
      </c>
      <c r="D349" s="25" t="s">
        <v>51</v>
      </c>
      <c r="E349" s="26">
        <v>1</v>
      </c>
      <c r="F349" s="25" t="s">
        <v>60</v>
      </c>
      <c r="G349" s="27">
        <f>$H$345</f>
        <v>67</v>
      </c>
      <c r="H349" s="27">
        <f>$G349+$E349</f>
        <v>68</v>
      </c>
      <c r="I349" s="28">
        <f>WORKDAY(Settings!$D$11,INT($G349/HoursPerDay)+1,Holidays)</f>
        <v>46273</v>
      </c>
      <c r="J349" s="28">
        <f>IF($E349=0,$I349,WORKDAY(Settings!$D$11,ROUNDUP($H349/HoursPerDay,0),Holidays))</f>
        <v>46273</v>
      </c>
    </row>
    <row r="350" spans="1:10" x14ac:dyDescent="0.25">
      <c r="A350" s="22" t="s">
        <v>10</v>
      </c>
      <c r="B350" s="22" t="s">
        <v>244</v>
      </c>
      <c r="C350" s="22" t="s">
        <v>376</v>
      </c>
      <c r="D350" s="22" t="s">
        <v>48</v>
      </c>
      <c r="E350" s="23">
        <f>SUMIF($D351:$D353,"Task",$E351:$E353)</f>
        <v>6</v>
      </c>
      <c r="F350" s="22"/>
      <c r="G350" s="23"/>
      <c r="H350" s="23"/>
      <c r="I350" s="24">
        <f>MIN($I351:$I353)</f>
        <v>46269</v>
      </c>
      <c r="J350" s="24">
        <f>MAX($J351:$J353)</f>
        <v>46273</v>
      </c>
    </row>
    <row r="351" spans="1:10" x14ac:dyDescent="0.25">
      <c r="A351" s="25" t="s">
        <v>10</v>
      </c>
      <c r="B351" s="25" t="s">
        <v>246</v>
      </c>
      <c r="C351" s="25" t="s">
        <v>54</v>
      </c>
      <c r="D351" s="25" t="s">
        <v>51</v>
      </c>
      <c r="E351" s="26">
        <v>2</v>
      </c>
      <c r="F351" s="25" t="s">
        <v>52</v>
      </c>
      <c r="G351" s="27">
        <f>$H$347</f>
        <v>62</v>
      </c>
      <c r="H351" s="27">
        <f>$G351+$E351</f>
        <v>64</v>
      </c>
      <c r="I351" s="28">
        <f>WORKDAY(Settings!$D$11,INT($G351/HoursPerDay)+1,Holidays)</f>
        <v>46272</v>
      </c>
      <c r="J351" s="28">
        <f>IF($E351=0,$I351,WORKDAY(Settings!$D$11,ROUNDUP($H351/HoursPerDay,0),Holidays))</f>
        <v>46273</v>
      </c>
    </row>
    <row r="352" spans="1:10" x14ac:dyDescent="0.25">
      <c r="A352" s="25" t="s">
        <v>10</v>
      </c>
      <c r="B352" s="25" t="s">
        <v>247</v>
      </c>
      <c r="C352" s="25" t="s">
        <v>56</v>
      </c>
      <c r="D352" s="25" t="s">
        <v>51</v>
      </c>
      <c r="E352" s="26">
        <v>2</v>
      </c>
      <c r="F352" s="25" t="s">
        <v>57</v>
      </c>
      <c r="G352" s="27">
        <f>$H$348</f>
        <v>52</v>
      </c>
      <c r="H352" s="27">
        <f>$G352+$E352</f>
        <v>54</v>
      </c>
      <c r="I352" s="28">
        <f>WORKDAY(Settings!$D$11,INT($G352/HoursPerDay)+1,Holidays)</f>
        <v>46269</v>
      </c>
      <c r="J352" s="28">
        <f>IF($E352=0,$I352,WORKDAY(Settings!$D$11,ROUNDUP($H352/HoursPerDay,0),Holidays))</f>
        <v>46269</v>
      </c>
    </row>
    <row r="353" spans="1:10" x14ac:dyDescent="0.25">
      <c r="A353" s="25" t="s">
        <v>10</v>
      </c>
      <c r="B353" s="25" t="s">
        <v>248</v>
      </c>
      <c r="C353" s="25" t="s">
        <v>59</v>
      </c>
      <c r="D353" s="25" t="s">
        <v>51</v>
      </c>
      <c r="E353" s="26">
        <v>2</v>
      </c>
      <c r="F353" s="25" t="s">
        <v>60</v>
      </c>
      <c r="G353" s="27">
        <f>$H$349</f>
        <v>68</v>
      </c>
      <c r="H353" s="27">
        <f>$G353+$E353</f>
        <v>70</v>
      </c>
      <c r="I353" s="28">
        <f>WORKDAY(Settings!$D$11,INT($G353/HoursPerDay)+1,Holidays)</f>
        <v>46273</v>
      </c>
      <c r="J353" s="28">
        <f>IF($E353=0,$I353,WORKDAY(Settings!$D$11,ROUNDUP($H353/HoursPerDay,0),Holidays))</f>
        <v>46273</v>
      </c>
    </row>
    <row r="354" spans="1:10" x14ac:dyDescent="0.25">
      <c r="A354" s="19" t="s">
        <v>10</v>
      </c>
      <c r="B354" s="19" t="s">
        <v>249</v>
      </c>
      <c r="C354" s="19" t="s">
        <v>377</v>
      </c>
      <c r="D354" s="19" t="s">
        <v>45</v>
      </c>
      <c r="E354" s="20">
        <f>SUMIF($D355:$D373,"Task",$E355:$E373)</f>
        <v>37</v>
      </c>
      <c r="F354" s="19"/>
      <c r="G354" s="20"/>
      <c r="H354" s="20"/>
      <c r="I354" s="21">
        <f>MIN($I355:$I373)</f>
        <v>46268</v>
      </c>
      <c r="J354" s="21">
        <f>MAX($J355:$J373)</f>
        <v>46275</v>
      </c>
    </row>
    <row r="355" spans="1:10" x14ac:dyDescent="0.25">
      <c r="A355" s="22" t="s">
        <v>10</v>
      </c>
      <c r="B355" s="22" t="s">
        <v>251</v>
      </c>
      <c r="C355" s="22" t="s">
        <v>378</v>
      </c>
      <c r="D355" s="22" t="s">
        <v>48</v>
      </c>
      <c r="E355" s="23">
        <f>SUMIF($D356:$D358,"Task",$E356:$E358)</f>
        <v>10</v>
      </c>
      <c r="F355" s="22"/>
      <c r="G355" s="23"/>
      <c r="H355" s="23"/>
      <c r="I355" s="24">
        <f>MIN($I356:$I358)</f>
        <v>46268</v>
      </c>
      <c r="J355" s="24">
        <f>MAX($J356:$J358)</f>
        <v>46273</v>
      </c>
    </row>
    <row r="356" spans="1:10" x14ac:dyDescent="0.25">
      <c r="A356" s="25" t="s">
        <v>10</v>
      </c>
      <c r="B356" s="25" t="s">
        <v>253</v>
      </c>
      <c r="C356" s="25" t="s">
        <v>50</v>
      </c>
      <c r="D356" s="25" t="s">
        <v>51</v>
      </c>
      <c r="E356" s="26">
        <v>2</v>
      </c>
      <c r="F356" s="25" t="s">
        <v>78</v>
      </c>
      <c r="G356" s="27">
        <f>$H$338</f>
        <v>48</v>
      </c>
      <c r="H356" s="27">
        <f>$G356+$E356</f>
        <v>50</v>
      </c>
      <c r="I356" s="28">
        <f>WORKDAY(Settings!$D$11,INT($G356/HoursPerDay)+1,Holidays)</f>
        <v>46268</v>
      </c>
      <c r="J356" s="28">
        <f>IF($E356=0,$I356,WORKDAY(Settings!$D$11,ROUNDUP($H356/HoursPerDay,0),Holidays))</f>
        <v>46269</v>
      </c>
    </row>
    <row r="357" spans="1:10" x14ac:dyDescent="0.25">
      <c r="A357" s="25" t="s">
        <v>10</v>
      </c>
      <c r="B357" s="25" t="s">
        <v>254</v>
      </c>
      <c r="C357" s="25" t="s">
        <v>54</v>
      </c>
      <c r="D357" s="25" t="s">
        <v>51</v>
      </c>
      <c r="E357" s="26">
        <v>4</v>
      </c>
      <c r="F357" s="25" t="s">
        <v>52</v>
      </c>
      <c r="G357" s="27">
        <f>$H$351</f>
        <v>64</v>
      </c>
      <c r="H357" s="27">
        <f>$G357+$E357</f>
        <v>68</v>
      </c>
      <c r="I357" s="28">
        <f>WORKDAY(Settings!$D$11,INT($G357/HoursPerDay)+1,Holidays)</f>
        <v>46273</v>
      </c>
      <c r="J357" s="28">
        <f>IF($E357=0,$I357,WORKDAY(Settings!$D$11,ROUNDUP($H357/HoursPerDay,0),Holidays))</f>
        <v>46273</v>
      </c>
    </row>
    <row r="358" spans="1:10" x14ac:dyDescent="0.25">
      <c r="A358" s="25" t="s">
        <v>10</v>
      </c>
      <c r="B358" s="25" t="s">
        <v>255</v>
      </c>
      <c r="C358" s="25" t="s">
        <v>56</v>
      </c>
      <c r="D358" s="25" t="s">
        <v>51</v>
      </c>
      <c r="E358" s="26">
        <v>4</v>
      </c>
      <c r="F358" s="25" t="s">
        <v>57</v>
      </c>
      <c r="G358" s="27">
        <f>$H$352</f>
        <v>54</v>
      </c>
      <c r="H358" s="27">
        <f>$G358+$E358</f>
        <v>58</v>
      </c>
      <c r="I358" s="28">
        <f>WORKDAY(Settings!$D$11,INT($G358/HoursPerDay)+1,Holidays)</f>
        <v>46269</v>
      </c>
      <c r="J358" s="28">
        <f>IF($E358=0,$I358,WORKDAY(Settings!$D$11,ROUNDUP($H358/HoursPerDay,0),Holidays))</f>
        <v>46272</v>
      </c>
    </row>
    <row r="359" spans="1:10" x14ac:dyDescent="0.25">
      <c r="A359" s="22" t="s">
        <v>10</v>
      </c>
      <c r="B359" s="22" t="s">
        <v>256</v>
      </c>
      <c r="C359" s="22" t="s">
        <v>379</v>
      </c>
      <c r="D359" s="22" t="s">
        <v>48</v>
      </c>
      <c r="E359" s="23">
        <f>SUMIF($D360:$D361,"Task",$E360:$E361)</f>
        <v>6</v>
      </c>
      <c r="F359" s="22"/>
      <c r="G359" s="23"/>
      <c r="H359" s="23"/>
      <c r="I359" s="24">
        <f>MIN($I360:$I361)</f>
        <v>46272</v>
      </c>
      <c r="J359" s="24">
        <f>MAX($J360:$J361)</f>
        <v>46274</v>
      </c>
    </row>
    <row r="360" spans="1:10" x14ac:dyDescent="0.25">
      <c r="A360" s="25" t="s">
        <v>10</v>
      </c>
      <c r="B360" s="25" t="s">
        <v>258</v>
      </c>
      <c r="C360" s="25" t="s">
        <v>54</v>
      </c>
      <c r="D360" s="25" t="s">
        <v>51</v>
      </c>
      <c r="E360" s="26">
        <v>3</v>
      </c>
      <c r="F360" s="25" t="s">
        <v>52</v>
      </c>
      <c r="G360" s="27">
        <f>$H$357</f>
        <v>68</v>
      </c>
      <c r="H360" s="27">
        <f>$G360+$E360</f>
        <v>71</v>
      </c>
      <c r="I360" s="28">
        <f>WORKDAY(Settings!$D$11,INT($G360/HoursPerDay)+1,Holidays)</f>
        <v>46273</v>
      </c>
      <c r="J360" s="28">
        <f>IF($E360=0,$I360,WORKDAY(Settings!$D$11,ROUNDUP($H360/HoursPerDay,0),Holidays))</f>
        <v>46274</v>
      </c>
    </row>
    <row r="361" spans="1:10" x14ac:dyDescent="0.25">
      <c r="A361" s="25" t="s">
        <v>10</v>
      </c>
      <c r="B361" s="25" t="s">
        <v>259</v>
      </c>
      <c r="C361" s="25" t="s">
        <v>56</v>
      </c>
      <c r="D361" s="25" t="s">
        <v>51</v>
      </c>
      <c r="E361" s="26">
        <v>3</v>
      </c>
      <c r="F361" s="25" t="s">
        <v>57</v>
      </c>
      <c r="G361" s="27">
        <f>$H$358</f>
        <v>58</v>
      </c>
      <c r="H361" s="27">
        <f>$G361+$E361</f>
        <v>61</v>
      </c>
      <c r="I361" s="28">
        <f>WORKDAY(Settings!$D$11,INT($G361/HoursPerDay)+1,Holidays)</f>
        <v>46272</v>
      </c>
      <c r="J361" s="28">
        <f>IF($E361=0,$I361,WORKDAY(Settings!$D$11,ROUNDUP($H361/HoursPerDay,0),Holidays))</f>
        <v>46272</v>
      </c>
    </row>
    <row r="362" spans="1:10" x14ac:dyDescent="0.25">
      <c r="A362" s="22" t="s">
        <v>10</v>
      </c>
      <c r="B362" s="22" t="s">
        <v>261</v>
      </c>
      <c r="C362" s="22" t="s">
        <v>380</v>
      </c>
      <c r="D362" s="22" t="s">
        <v>48</v>
      </c>
      <c r="E362" s="23">
        <f>SUMIF($D363:$D364,"Task",$E363:$E364)</f>
        <v>6</v>
      </c>
      <c r="F362" s="22"/>
      <c r="G362" s="23"/>
      <c r="H362" s="23"/>
      <c r="I362" s="24">
        <f>MIN($I363:$I364)</f>
        <v>46272</v>
      </c>
      <c r="J362" s="24">
        <f>MAX($J363:$J364)</f>
        <v>46274</v>
      </c>
    </row>
    <row r="363" spans="1:10" x14ac:dyDescent="0.25">
      <c r="A363" s="25" t="s">
        <v>10</v>
      </c>
      <c r="B363" s="25" t="s">
        <v>263</v>
      </c>
      <c r="C363" s="25" t="s">
        <v>54</v>
      </c>
      <c r="D363" s="25" t="s">
        <v>51</v>
      </c>
      <c r="E363" s="26">
        <v>3</v>
      </c>
      <c r="F363" s="25" t="s">
        <v>52</v>
      </c>
      <c r="G363" s="27">
        <f>$H$360</f>
        <v>71</v>
      </c>
      <c r="H363" s="27">
        <f>$G363+$E363</f>
        <v>74</v>
      </c>
      <c r="I363" s="28">
        <f>WORKDAY(Settings!$D$11,INT($G363/HoursPerDay)+1,Holidays)</f>
        <v>46274</v>
      </c>
      <c r="J363" s="28">
        <f>IF($E363=0,$I363,WORKDAY(Settings!$D$11,ROUNDUP($H363/HoursPerDay,0),Holidays))</f>
        <v>46274</v>
      </c>
    </row>
    <row r="364" spans="1:10" x14ac:dyDescent="0.25">
      <c r="A364" s="25" t="s">
        <v>10</v>
      </c>
      <c r="B364" s="25" t="s">
        <v>264</v>
      </c>
      <c r="C364" s="25" t="s">
        <v>56</v>
      </c>
      <c r="D364" s="25" t="s">
        <v>51</v>
      </c>
      <c r="E364" s="26">
        <v>3</v>
      </c>
      <c r="F364" s="25" t="s">
        <v>57</v>
      </c>
      <c r="G364" s="27">
        <f>$H$361</f>
        <v>61</v>
      </c>
      <c r="H364" s="27">
        <f>$G364+$E364</f>
        <v>64</v>
      </c>
      <c r="I364" s="28">
        <f>WORKDAY(Settings!$D$11,INT($G364/HoursPerDay)+1,Holidays)</f>
        <v>46272</v>
      </c>
      <c r="J364" s="28">
        <f>IF($E364=0,$I364,WORKDAY(Settings!$D$11,ROUNDUP($H364/HoursPerDay,0),Holidays))</f>
        <v>46273</v>
      </c>
    </row>
    <row r="365" spans="1:10" x14ac:dyDescent="0.25">
      <c r="A365" s="22" t="s">
        <v>10</v>
      </c>
      <c r="B365" s="22" t="s">
        <v>381</v>
      </c>
      <c r="C365" s="22" t="s">
        <v>382</v>
      </c>
      <c r="D365" s="22" t="s">
        <v>48</v>
      </c>
      <c r="E365" s="23">
        <f>SUMIF($D366:$D367,"Task",$E366:$E367)</f>
        <v>9</v>
      </c>
      <c r="F365" s="22"/>
      <c r="G365" s="23"/>
      <c r="H365" s="23"/>
      <c r="I365" s="24">
        <f>MIN($I366:$I367)</f>
        <v>46273</v>
      </c>
      <c r="J365" s="24">
        <f>MAX($J366:$J367)</f>
        <v>46275</v>
      </c>
    </row>
    <row r="366" spans="1:10" x14ac:dyDescent="0.25">
      <c r="A366" s="25" t="s">
        <v>10</v>
      </c>
      <c r="B366" s="25" t="s">
        <v>383</v>
      </c>
      <c r="C366" s="25" t="s">
        <v>54</v>
      </c>
      <c r="D366" s="25" t="s">
        <v>51</v>
      </c>
      <c r="E366" s="26">
        <v>4</v>
      </c>
      <c r="F366" s="25" t="s">
        <v>52</v>
      </c>
      <c r="G366" s="27">
        <f>$H$363</f>
        <v>74</v>
      </c>
      <c r="H366" s="27">
        <f>$G366+$E366</f>
        <v>78</v>
      </c>
      <c r="I366" s="28">
        <f>WORKDAY(Settings!$D$11,INT($G366/HoursPerDay)+1,Holidays)</f>
        <v>46274</v>
      </c>
      <c r="J366" s="28">
        <f>IF($E366=0,$I366,WORKDAY(Settings!$D$11,ROUNDUP($H366/HoursPerDay,0),Holidays))</f>
        <v>46275</v>
      </c>
    </row>
    <row r="367" spans="1:10" x14ac:dyDescent="0.25">
      <c r="A367" s="25" t="s">
        <v>10</v>
      </c>
      <c r="B367" s="25" t="s">
        <v>384</v>
      </c>
      <c r="C367" s="25" t="s">
        <v>56</v>
      </c>
      <c r="D367" s="25" t="s">
        <v>51</v>
      </c>
      <c r="E367" s="26">
        <v>5</v>
      </c>
      <c r="F367" s="25" t="s">
        <v>57</v>
      </c>
      <c r="G367" s="27">
        <f>$H$364</f>
        <v>64</v>
      </c>
      <c r="H367" s="27">
        <f>$G367+$E367</f>
        <v>69</v>
      </c>
      <c r="I367" s="28">
        <f>WORKDAY(Settings!$D$11,INT($G367/HoursPerDay)+1,Holidays)</f>
        <v>46273</v>
      </c>
      <c r="J367" s="28">
        <f>IF($E367=0,$I367,WORKDAY(Settings!$D$11,ROUNDUP($H367/HoursPerDay,0),Holidays))</f>
        <v>46273</v>
      </c>
    </row>
    <row r="368" spans="1:10" x14ac:dyDescent="0.25">
      <c r="A368" s="22" t="s">
        <v>10</v>
      </c>
      <c r="B368" s="22" t="s">
        <v>385</v>
      </c>
      <c r="C368" s="22" t="s">
        <v>386</v>
      </c>
      <c r="D368" s="22" t="s">
        <v>48</v>
      </c>
      <c r="E368" s="23">
        <f>SUMIF($D369:$D370,"Task",$E369:$E370)</f>
        <v>6</v>
      </c>
      <c r="F368" s="22"/>
      <c r="G368" s="23"/>
      <c r="H368" s="23"/>
      <c r="I368" s="24">
        <f>MIN($I369:$I370)</f>
        <v>46273</v>
      </c>
      <c r="J368" s="24">
        <f>MAX($J369:$J370)</f>
        <v>46275</v>
      </c>
    </row>
    <row r="369" spans="1:10" x14ac:dyDescent="0.25">
      <c r="A369" s="25" t="s">
        <v>10</v>
      </c>
      <c r="B369" s="25" t="s">
        <v>387</v>
      </c>
      <c r="C369" s="25" t="s">
        <v>54</v>
      </c>
      <c r="D369" s="25" t="s">
        <v>51</v>
      </c>
      <c r="E369" s="26">
        <v>3</v>
      </c>
      <c r="F369" s="25" t="s">
        <v>52</v>
      </c>
      <c r="G369" s="27">
        <f>$H$366</f>
        <v>78</v>
      </c>
      <c r="H369" s="27">
        <f>$G369+$E369</f>
        <v>81</v>
      </c>
      <c r="I369" s="28">
        <f>WORKDAY(Settings!$D$11,INT($G369/HoursPerDay)+1,Holidays)</f>
        <v>46275</v>
      </c>
      <c r="J369" s="28">
        <f>IF($E369=0,$I369,WORKDAY(Settings!$D$11,ROUNDUP($H369/HoursPerDay,0),Holidays))</f>
        <v>46275</v>
      </c>
    </row>
    <row r="370" spans="1:10" x14ac:dyDescent="0.25">
      <c r="A370" s="25" t="s">
        <v>10</v>
      </c>
      <c r="B370" s="25" t="s">
        <v>388</v>
      </c>
      <c r="C370" s="25" t="s">
        <v>56</v>
      </c>
      <c r="D370" s="25" t="s">
        <v>51</v>
      </c>
      <c r="E370" s="26">
        <v>3</v>
      </c>
      <c r="F370" s="25" t="s">
        <v>57</v>
      </c>
      <c r="G370" s="27">
        <f>$H$367</f>
        <v>69</v>
      </c>
      <c r="H370" s="27">
        <f>$G370+$E370</f>
        <v>72</v>
      </c>
      <c r="I370" s="28">
        <f>WORKDAY(Settings!$D$11,INT($G370/HoursPerDay)+1,Holidays)</f>
        <v>46273</v>
      </c>
      <c r="J370" s="28">
        <f>IF($E370=0,$I370,WORKDAY(Settings!$D$11,ROUNDUP($H370/HoursPerDay,0),Holidays))</f>
        <v>46274</v>
      </c>
    </row>
    <row r="371" spans="1:10" x14ac:dyDescent="0.25">
      <c r="A371" s="22" t="s">
        <v>10</v>
      </c>
      <c r="B371" s="22" t="s">
        <v>389</v>
      </c>
      <c r="C371" s="22" t="s">
        <v>390</v>
      </c>
      <c r="D371" s="22" t="s">
        <v>48</v>
      </c>
      <c r="E371" s="23">
        <f>SUMIF($D372:$D373,"Task",$E372:$E373)</f>
        <v>0</v>
      </c>
      <c r="F371" s="22"/>
      <c r="G371" s="23"/>
      <c r="H371" s="23"/>
      <c r="I371" s="24">
        <f>MIN($I372:$I373)</f>
        <v>46274</v>
      </c>
      <c r="J371" s="24">
        <f>MAX($J372:$J373)</f>
        <v>46275</v>
      </c>
    </row>
    <row r="372" spans="1:10" x14ac:dyDescent="0.25">
      <c r="A372" s="25" t="s">
        <v>10</v>
      </c>
      <c r="B372" s="25" t="s">
        <v>391</v>
      </c>
      <c r="C372" s="25" t="s">
        <v>54</v>
      </c>
      <c r="D372" s="25" t="s">
        <v>51</v>
      </c>
      <c r="E372" s="26">
        <v>0</v>
      </c>
      <c r="F372" s="25" t="s">
        <v>52</v>
      </c>
      <c r="G372" s="27">
        <f>$H$369</f>
        <v>81</v>
      </c>
      <c r="H372" s="27">
        <f>$G372+$E372</f>
        <v>81</v>
      </c>
      <c r="I372" s="28">
        <f>WORKDAY(Settings!$D$11,INT($G372/HoursPerDay)+1,Holidays)</f>
        <v>46275</v>
      </c>
      <c r="J372" s="28">
        <f>IF($E372=0,$I372,WORKDAY(Settings!$D$11,ROUNDUP($H372/HoursPerDay,0),Holidays))</f>
        <v>46275</v>
      </c>
    </row>
    <row r="373" spans="1:10" x14ac:dyDescent="0.25">
      <c r="A373" s="25" t="s">
        <v>10</v>
      </c>
      <c r="B373" s="25" t="s">
        <v>392</v>
      </c>
      <c r="C373" s="25" t="s">
        <v>56</v>
      </c>
      <c r="D373" s="25" t="s">
        <v>51</v>
      </c>
      <c r="E373" s="26">
        <v>0</v>
      </c>
      <c r="F373" s="25" t="s">
        <v>57</v>
      </c>
      <c r="G373" s="27">
        <f>$H$370</f>
        <v>72</v>
      </c>
      <c r="H373" s="27">
        <f>$G373+$E373</f>
        <v>72</v>
      </c>
      <c r="I373" s="28">
        <f>WORKDAY(Settings!$D$11,INT($G373/HoursPerDay)+1,Holidays)</f>
        <v>46274</v>
      </c>
      <c r="J373" s="28">
        <f>IF($E373=0,$I373,WORKDAY(Settings!$D$11,ROUNDUP($H373/HoursPerDay,0),Holidays))</f>
        <v>46274</v>
      </c>
    </row>
    <row r="374" spans="1:10" x14ac:dyDescent="0.25">
      <c r="A374" s="19" t="s">
        <v>10</v>
      </c>
      <c r="B374" s="19" t="s">
        <v>266</v>
      </c>
      <c r="C374" s="19" t="s">
        <v>393</v>
      </c>
      <c r="D374" s="19" t="s">
        <v>45</v>
      </c>
      <c r="E374" s="20">
        <f>SUMIF($D375:$D395,"Task",$E375:$E395)</f>
        <v>64</v>
      </c>
      <c r="F374" s="19"/>
      <c r="G374" s="20"/>
      <c r="H374" s="20"/>
      <c r="I374" s="21">
        <f>MIN($I375:$I395)</f>
        <v>46269</v>
      </c>
      <c r="J374" s="21">
        <f>MAX($J375:$J395)</f>
        <v>46280</v>
      </c>
    </row>
    <row r="375" spans="1:10" x14ac:dyDescent="0.25">
      <c r="A375" s="22" t="s">
        <v>10</v>
      </c>
      <c r="B375" s="22" t="s">
        <v>268</v>
      </c>
      <c r="C375" s="22" t="s">
        <v>394</v>
      </c>
      <c r="D375" s="22" t="s">
        <v>48</v>
      </c>
      <c r="E375" s="23">
        <f>SUMIF($D376:$D379,"Task",$E376:$E379)</f>
        <v>18</v>
      </c>
      <c r="F375" s="22"/>
      <c r="G375" s="23"/>
      <c r="H375" s="23"/>
      <c r="I375" s="24">
        <f>MIN($I376:$I379)</f>
        <v>46269</v>
      </c>
      <c r="J375" s="24">
        <f>MAX($J376:$J379)</f>
        <v>46276</v>
      </c>
    </row>
    <row r="376" spans="1:10" x14ac:dyDescent="0.25">
      <c r="A376" s="25" t="s">
        <v>10</v>
      </c>
      <c r="B376" s="25" t="s">
        <v>270</v>
      </c>
      <c r="C376" s="25" t="s">
        <v>50</v>
      </c>
      <c r="D376" s="25" t="s">
        <v>51</v>
      </c>
      <c r="E376" s="26">
        <v>4</v>
      </c>
      <c r="F376" s="25" t="s">
        <v>78</v>
      </c>
      <c r="G376" s="27">
        <f>$H$356</f>
        <v>50</v>
      </c>
      <c r="H376" s="27">
        <f>$G376+$E376</f>
        <v>54</v>
      </c>
      <c r="I376" s="28">
        <f>WORKDAY(Settings!$D$11,INT($G376/HoursPerDay)+1,Holidays)</f>
        <v>46269</v>
      </c>
      <c r="J376" s="28">
        <f>IF($E376=0,$I376,WORKDAY(Settings!$D$11,ROUNDUP($H376/HoursPerDay,0),Holidays))</f>
        <v>46269</v>
      </c>
    </row>
    <row r="377" spans="1:10" x14ac:dyDescent="0.25">
      <c r="A377" s="25" t="s">
        <v>10</v>
      </c>
      <c r="B377" s="25" t="s">
        <v>271</v>
      </c>
      <c r="C377" s="25" t="s">
        <v>54</v>
      </c>
      <c r="D377" s="25" t="s">
        <v>51</v>
      </c>
      <c r="E377" s="26">
        <v>4</v>
      </c>
      <c r="F377" s="25" t="s">
        <v>52</v>
      </c>
      <c r="G377" s="27">
        <f>$H$372</f>
        <v>81</v>
      </c>
      <c r="H377" s="27">
        <f>$G377+$E377</f>
        <v>85</v>
      </c>
      <c r="I377" s="28">
        <f>WORKDAY(Settings!$D$11,INT($G377/HoursPerDay)+1,Holidays)</f>
        <v>46275</v>
      </c>
      <c r="J377" s="28">
        <f>IF($E377=0,$I377,WORKDAY(Settings!$D$11,ROUNDUP($H377/HoursPerDay,0),Holidays))</f>
        <v>46276</v>
      </c>
    </row>
    <row r="378" spans="1:10" x14ac:dyDescent="0.25">
      <c r="A378" s="25" t="s">
        <v>10</v>
      </c>
      <c r="B378" s="25" t="s">
        <v>272</v>
      </c>
      <c r="C378" s="25" t="s">
        <v>56</v>
      </c>
      <c r="D378" s="25" t="s">
        <v>51</v>
      </c>
      <c r="E378" s="26">
        <v>5</v>
      </c>
      <c r="F378" s="25" t="s">
        <v>57</v>
      </c>
      <c r="G378" s="27">
        <f>$H$373</f>
        <v>72</v>
      </c>
      <c r="H378" s="27">
        <f>$G378+$E378</f>
        <v>77</v>
      </c>
      <c r="I378" s="28">
        <f>WORKDAY(Settings!$D$11,INT($G378/HoursPerDay)+1,Holidays)</f>
        <v>46274</v>
      </c>
      <c r="J378" s="28">
        <f>IF($E378=0,$I378,WORKDAY(Settings!$D$11,ROUNDUP($H378/HoursPerDay,0),Holidays))</f>
        <v>46274</v>
      </c>
    </row>
    <row r="379" spans="1:10" x14ac:dyDescent="0.25">
      <c r="A379" s="25" t="s">
        <v>10</v>
      </c>
      <c r="B379" s="25" t="s">
        <v>395</v>
      </c>
      <c r="C379" s="25" t="s">
        <v>59</v>
      </c>
      <c r="D379" s="25" t="s">
        <v>51</v>
      </c>
      <c r="E379" s="26">
        <v>5</v>
      </c>
      <c r="F379" s="25" t="s">
        <v>60</v>
      </c>
      <c r="G379" s="27">
        <f>$H$353</f>
        <v>70</v>
      </c>
      <c r="H379" s="27">
        <f>$G379+$E379</f>
        <v>75</v>
      </c>
      <c r="I379" s="28">
        <f>WORKDAY(Settings!$D$11,INT($G379/HoursPerDay)+1,Holidays)</f>
        <v>46274</v>
      </c>
      <c r="J379" s="28">
        <f>IF($E379=0,$I379,WORKDAY(Settings!$D$11,ROUNDUP($H379/HoursPerDay,0),Holidays))</f>
        <v>46274</v>
      </c>
    </row>
    <row r="380" spans="1:10" x14ac:dyDescent="0.25">
      <c r="A380" s="22" t="s">
        <v>10</v>
      </c>
      <c r="B380" s="22" t="s">
        <v>273</v>
      </c>
      <c r="C380" s="22" t="s">
        <v>396</v>
      </c>
      <c r="D380" s="22" t="s">
        <v>48</v>
      </c>
      <c r="E380" s="23">
        <f>SUMIF($D381:$D383,"Task",$E381:$E383)</f>
        <v>10</v>
      </c>
      <c r="F380" s="22"/>
      <c r="G380" s="23"/>
      <c r="H380" s="23"/>
      <c r="I380" s="24">
        <f>MIN($I381:$I383)</f>
        <v>46274</v>
      </c>
      <c r="J380" s="24">
        <f>MAX($J381:$J383)</f>
        <v>46276</v>
      </c>
    </row>
    <row r="381" spans="1:10" x14ac:dyDescent="0.25">
      <c r="A381" s="25" t="s">
        <v>10</v>
      </c>
      <c r="B381" s="25" t="s">
        <v>275</v>
      </c>
      <c r="C381" s="25" t="s">
        <v>54</v>
      </c>
      <c r="D381" s="25" t="s">
        <v>51</v>
      </c>
      <c r="E381" s="26">
        <v>4</v>
      </c>
      <c r="F381" s="25" t="s">
        <v>52</v>
      </c>
      <c r="G381" s="27">
        <f>$H$377</f>
        <v>85</v>
      </c>
      <c r="H381" s="27">
        <f>$G381+$E381</f>
        <v>89</v>
      </c>
      <c r="I381" s="28">
        <f>WORKDAY(Settings!$D$11,INT($G381/HoursPerDay)+1,Holidays)</f>
        <v>46276</v>
      </c>
      <c r="J381" s="28">
        <f>IF($E381=0,$I381,WORKDAY(Settings!$D$11,ROUNDUP($H381/HoursPerDay,0),Holidays))</f>
        <v>46276</v>
      </c>
    </row>
    <row r="382" spans="1:10" x14ac:dyDescent="0.25">
      <c r="A382" s="25" t="s">
        <v>10</v>
      </c>
      <c r="B382" s="25" t="s">
        <v>276</v>
      </c>
      <c r="C382" s="25" t="s">
        <v>56</v>
      </c>
      <c r="D382" s="25" t="s">
        <v>51</v>
      </c>
      <c r="E382" s="26">
        <v>3</v>
      </c>
      <c r="F382" s="25" t="s">
        <v>57</v>
      </c>
      <c r="G382" s="27">
        <f>$H$378</f>
        <v>77</v>
      </c>
      <c r="H382" s="27">
        <f>$G382+$E382</f>
        <v>80</v>
      </c>
      <c r="I382" s="28">
        <f>WORKDAY(Settings!$D$11,INT($G382/HoursPerDay)+1,Holidays)</f>
        <v>46275</v>
      </c>
      <c r="J382" s="28">
        <f>IF($E382=0,$I382,WORKDAY(Settings!$D$11,ROUNDUP($H382/HoursPerDay,0),Holidays))</f>
        <v>46275</v>
      </c>
    </row>
    <row r="383" spans="1:10" x14ac:dyDescent="0.25">
      <c r="A383" s="25" t="s">
        <v>10</v>
      </c>
      <c r="B383" s="25" t="s">
        <v>277</v>
      </c>
      <c r="C383" s="25" t="s">
        <v>59</v>
      </c>
      <c r="D383" s="25" t="s">
        <v>51</v>
      </c>
      <c r="E383" s="26">
        <v>3</v>
      </c>
      <c r="F383" s="25" t="s">
        <v>60</v>
      </c>
      <c r="G383" s="27">
        <f>$H$379</f>
        <v>75</v>
      </c>
      <c r="H383" s="27">
        <f>$G383+$E383</f>
        <v>78</v>
      </c>
      <c r="I383" s="28">
        <f>WORKDAY(Settings!$D$11,INT($G383/HoursPerDay)+1,Holidays)</f>
        <v>46274</v>
      </c>
      <c r="J383" s="28">
        <f>IF($E383=0,$I383,WORKDAY(Settings!$D$11,ROUNDUP($H383/HoursPerDay,0),Holidays))</f>
        <v>46275</v>
      </c>
    </row>
    <row r="384" spans="1:10" x14ac:dyDescent="0.25">
      <c r="A384" s="22" t="s">
        <v>10</v>
      </c>
      <c r="B384" s="22" t="s">
        <v>278</v>
      </c>
      <c r="C384" s="22" t="s">
        <v>397</v>
      </c>
      <c r="D384" s="22" t="s">
        <v>48</v>
      </c>
      <c r="E384" s="23">
        <f>SUMIF($D385:$D387,"Task",$E385:$E387)</f>
        <v>14</v>
      </c>
      <c r="F384" s="22"/>
      <c r="G384" s="23"/>
      <c r="H384" s="23"/>
      <c r="I384" s="24">
        <f>MIN($I385:$I387)</f>
        <v>46275</v>
      </c>
      <c r="J384" s="24">
        <f>MAX($J385:$J387)</f>
        <v>46279</v>
      </c>
    </row>
    <row r="385" spans="1:10" x14ac:dyDescent="0.25">
      <c r="A385" s="25" t="s">
        <v>10</v>
      </c>
      <c r="B385" s="25" t="s">
        <v>280</v>
      </c>
      <c r="C385" s="25" t="s">
        <v>54</v>
      </c>
      <c r="D385" s="25" t="s">
        <v>51</v>
      </c>
      <c r="E385" s="26">
        <v>4</v>
      </c>
      <c r="F385" s="25" t="s">
        <v>52</v>
      </c>
      <c r="G385" s="27">
        <f>$H$381</f>
        <v>89</v>
      </c>
      <c r="H385" s="27">
        <f>$G385+$E385</f>
        <v>93</v>
      </c>
      <c r="I385" s="28">
        <f>WORKDAY(Settings!$D$11,INT($G385/HoursPerDay)+1,Holidays)</f>
        <v>46276</v>
      </c>
      <c r="J385" s="28">
        <f>IF($E385=0,$I385,WORKDAY(Settings!$D$11,ROUNDUP($H385/HoursPerDay,0),Holidays))</f>
        <v>46279</v>
      </c>
    </row>
    <row r="386" spans="1:10" x14ac:dyDescent="0.25">
      <c r="A386" s="25" t="s">
        <v>10</v>
      </c>
      <c r="B386" s="25" t="s">
        <v>281</v>
      </c>
      <c r="C386" s="25" t="s">
        <v>56</v>
      </c>
      <c r="D386" s="25" t="s">
        <v>51</v>
      </c>
      <c r="E386" s="26">
        <v>5</v>
      </c>
      <c r="F386" s="25" t="s">
        <v>57</v>
      </c>
      <c r="G386" s="27">
        <f>$H$382</f>
        <v>80</v>
      </c>
      <c r="H386" s="27">
        <f>$G386+$E386</f>
        <v>85</v>
      </c>
      <c r="I386" s="28">
        <f>WORKDAY(Settings!$D$11,INT($G386/HoursPerDay)+1,Holidays)</f>
        <v>46275</v>
      </c>
      <c r="J386" s="28">
        <f>IF($E386=0,$I386,WORKDAY(Settings!$D$11,ROUNDUP($H386/HoursPerDay,0),Holidays))</f>
        <v>46276</v>
      </c>
    </row>
    <row r="387" spans="1:10" x14ac:dyDescent="0.25">
      <c r="A387" s="25" t="s">
        <v>10</v>
      </c>
      <c r="B387" s="25" t="s">
        <v>282</v>
      </c>
      <c r="C387" s="25" t="s">
        <v>59</v>
      </c>
      <c r="D387" s="25" t="s">
        <v>51</v>
      </c>
      <c r="E387" s="26">
        <v>5</v>
      </c>
      <c r="F387" s="25" t="s">
        <v>60</v>
      </c>
      <c r="G387" s="27">
        <f>$H$383</f>
        <v>78</v>
      </c>
      <c r="H387" s="27">
        <f>$G387+$E387</f>
        <v>83</v>
      </c>
      <c r="I387" s="28">
        <f>WORKDAY(Settings!$D$11,INT($G387/HoursPerDay)+1,Holidays)</f>
        <v>46275</v>
      </c>
      <c r="J387" s="28">
        <f>IF($E387=0,$I387,WORKDAY(Settings!$D$11,ROUNDUP($H387/HoursPerDay,0),Holidays))</f>
        <v>46275</v>
      </c>
    </row>
    <row r="388" spans="1:10" x14ac:dyDescent="0.25">
      <c r="A388" s="22" t="s">
        <v>10</v>
      </c>
      <c r="B388" s="22" t="s">
        <v>283</v>
      </c>
      <c r="C388" s="22" t="s">
        <v>398</v>
      </c>
      <c r="D388" s="22" t="s">
        <v>48</v>
      </c>
      <c r="E388" s="23">
        <f>SUMIF($D389:$D391,"Task",$E389:$E391)</f>
        <v>11</v>
      </c>
      <c r="F388" s="22"/>
      <c r="G388" s="23"/>
      <c r="H388" s="23"/>
      <c r="I388" s="24">
        <f>MIN($I389:$I391)</f>
        <v>46275</v>
      </c>
      <c r="J388" s="24">
        <f>MAX($J389:$J391)</f>
        <v>46279</v>
      </c>
    </row>
    <row r="389" spans="1:10" x14ac:dyDescent="0.25">
      <c r="A389" s="25" t="s">
        <v>10</v>
      </c>
      <c r="B389" s="25" t="s">
        <v>285</v>
      </c>
      <c r="C389" s="25" t="s">
        <v>54</v>
      </c>
      <c r="D389" s="25" t="s">
        <v>51</v>
      </c>
      <c r="E389" s="26">
        <v>4</v>
      </c>
      <c r="F389" s="25" t="s">
        <v>52</v>
      </c>
      <c r="G389" s="27">
        <f>$H$385</f>
        <v>93</v>
      </c>
      <c r="H389" s="27">
        <f>$G389+$E389</f>
        <v>97</v>
      </c>
      <c r="I389" s="28">
        <f>WORKDAY(Settings!$D$11,INT($G389/HoursPerDay)+1,Holidays)</f>
        <v>46279</v>
      </c>
      <c r="J389" s="28">
        <f>IF($E389=0,$I389,WORKDAY(Settings!$D$11,ROUNDUP($H389/HoursPerDay,0),Holidays))</f>
        <v>46279</v>
      </c>
    </row>
    <row r="390" spans="1:10" x14ac:dyDescent="0.25">
      <c r="A390" s="25" t="s">
        <v>10</v>
      </c>
      <c r="B390" s="25" t="s">
        <v>286</v>
      </c>
      <c r="C390" s="25" t="s">
        <v>56</v>
      </c>
      <c r="D390" s="25" t="s">
        <v>51</v>
      </c>
      <c r="E390" s="26">
        <v>4</v>
      </c>
      <c r="F390" s="25" t="s">
        <v>57</v>
      </c>
      <c r="G390" s="27">
        <f>$H$386</f>
        <v>85</v>
      </c>
      <c r="H390" s="27">
        <f>$G390+$E390</f>
        <v>89</v>
      </c>
      <c r="I390" s="28">
        <f>WORKDAY(Settings!$D$11,INT($G390/HoursPerDay)+1,Holidays)</f>
        <v>46276</v>
      </c>
      <c r="J390" s="28">
        <f>IF($E390=0,$I390,WORKDAY(Settings!$D$11,ROUNDUP($H390/HoursPerDay,0),Holidays))</f>
        <v>46276</v>
      </c>
    </row>
    <row r="391" spans="1:10" x14ac:dyDescent="0.25">
      <c r="A391" s="25" t="s">
        <v>10</v>
      </c>
      <c r="B391" s="25" t="s">
        <v>287</v>
      </c>
      <c r="C391" s="25" t="s">
        <v>59</v>
      </c>
      <c r="D391" s="25" t="s">
        <v>51</v>
      </c>
      <c r="E391" s="26">
        <v>3</v>
      </c>
      <c r="F391" s="25" t="s">
        <v>60</v>
      </c>
      <c r="G391" s="27">
        <f>$H$387</f>
        <v>83</v>
      </c>
      <c r="H391" s="27">
        <f>$G391+$E391</f>
        <v>86</v>
      </c>
      <c r="I391" s="28">
        <f>WORKDAY(Settings!$D$11,INT($G391/HoursPerDay)+1,Holidays)</f>
        <v>46275</v>
      </c>
      <c r="J391" s="28">
        <f>IF($E391=0,$I391,WORKDAY(Settings!$D$11,ROUNDUP($H391/HoursPerDay,0),Holidays))</f>
        <v>46276</v>
      </c>
    </row>
    <row r="392" spans="1:10" x14ac:dyDescent="0.25">
      <c r="A392" s="22" t="s">
        <v>10</v>
      </c>
      <c r="B392" s="22" t="s">
        <v>288</v>
      </c>
      <c r="C392" s="22" t="s">
        <v>399</v>
      </c>
      <c r="D392" s="22" t="s">
        <v>48</v>
      </c>
      <c r="E392" s="23">
        <f>SUMIF($D393:$D395,"Task",$E393:$E395)</f>
        <v>11</v>
      </c>
      <c r="F392" s="22"/>
      <c r="G392" s="23"/>
      <c r="H392" s="23"/>
      <c r="I392" s="24">
        <f>MIN($I393:$I395)</f>
        <v>46276</v>
      </c>
      <c r="J392" s="24">
        <f>MAX($J393:$J395)</f>
        <v>46280</v>
      </c>
    </row>
    <row r="393" spans="1:10" x14ac:dyDescent="0.25">
      <c r="A393" s="25" t="s">
        <v>10</v>
      </c>
      <c r="B393" s="25" t="s">
        <v>290</v>
      </c>
      <c r="C393" s="25" t="s">
        <v>54</v>
      </c>
      <c r="D393" s="25" t="s">
        <v>51</v>
      </c>
      <c r="E393" s="26">
        <v>4</v>
      </c>
      <c r="F393" s="25" t="s">
        <v>52</v>
      </c>
      <c r="G393" s="27">
        <f>$H$389</f>
        <v>97</v>
      </c>
      <c r="H393" s="27">
        <f>$G393+$E393</f>
        <v>101</v>
      </c>
      <c r="I393" s="28">
        <f>WORKDAY(Settings!$D$11,INT($G393/HoursPerDay)+1,Holidays)</f>
        <v>46279</v>
      </c>
      <c r="J393" s="28">
        <f>IF($E393=0,$I393,WORKDAY(Settings!$D$11,ROUNDUP($H393/HoursPerDay,0),Holidays))</f>
        <v>46280</v>
      </c>
    </row>
    <row r="394" spans="1:10" x14ac:dyDescent="0.25">
      <c r="A394" s="25" t="s">
        <v>10</v>
      </c>
      <c r="B394" s="25" t="s">
        <v>291</v>
      </c>
      <c r="C394" s="25" t="s">
        <v>56</v>
      </c>
      <c r="D394" s="25" t="s">
        <v>51</v>
      </c>
      <c r="E394" s="26">
        <v>4</v>
      </c>
      <c r="F394" s="25" t="s">
        <v>57</v>
      </c>
      <c r="G394" s="27">
        <f>$H$390</f>
        <v>89</v>
      </c>
      <c r="H394" s="27">
        <f>$G394+$E394</f>
        <v>93</v>
      </c>
      <c r="I394" s="28">
        <f>WORKDAY(Settings!$D$11,INT($G394/HoursPerDay)+1,Holidays)</f>
        <v>46276</v>
      </c>
      <c r="J394" s="28">
        <f>IF($E394=0,$I394,WORKDAY(Settings!$D$11,ROUNDUP($H394/HoursPerDay,0),Holidays))</f>
        <v>46279</v>
      </c>
    </row>
    <row r="395" spans="1:10" x14ac:dyDescent="0.25">
      <c r="A395" s="25" t="s">
        <v>10</v>
      </c>
      <c r="B395" s="25" t="s">
        <v>292</v>
      </c>
      <c r="C395" s="25" t="s">
        <v>59</v>
      </c>
      <c r="D395" s="25" t="s">
        <v>51</v>
      </c>
      <c r="E395" s="26">
        <v>3</v>
      </c>
      <c r="F395" s="25" t="s">
        <v>60</v>
      </c>
      <c r="G395" s="27">
        <f>$H$391</f>
        <v>86</v>
      </c>
      <c r="H395" s="27">
        <f>$G395+$E395</f>
        <v>89</v>
      </c>
      <c r="I395" s="28">
        <f>WORKDAY(Settings!$D$11,INT($G395/HoursPerDay)+1,Holidays)</f>
        <v>46276</v>
      </c>
      <c r="J395" s="28">
        <f>IF($E395=0,$I395,WORKDAY(Settings!$D$11,ROUNDUP($H395/HoursPerDay,0),Holidays))</f>
        <v>46276</v>
      </c>
    </row>
    <row r="396" spans="1:10" x14ac:dyDescent="0.25">
      <c r="A396" s="19" t="s">
        <v>10</v>
      </c>
      <c r="B396" s="19" t="s">
        <v>303</v>
      </c>
      <c r="C396" s="19" t="s">
        <v>400</v>
      </c>
      <c r="D396" s="19" t="s">
        <v>45</v>
      </c>
      <c r="E396" s="20">
        <f>SUMIF($D397:$D413,"Task",$E397:$E413)</f>
        <v>24</v>
      </c>
      <c r="F396" s="19"/>
      <c r="G396" s="20"/>
      <c r="H396" s="20"/>
      <c r="I396" s="21">
        <f>MIN($I397:$I413)</f>
        <v>46269</v>
      </c>
      <c r="J396" s="21">
        <f>MAX($J397:$J413)</f>
        <v>46281</v>
      </c>
    </row>
    <row r="397" spans="1:10" x14ac:dyDescent="0.25">
      <c r="A397" s="22" t="s">
        <v>10</v>
      </c>
      <c r="B397" s="22" t="s">
        <v>305</v>
      </c>
      <c r="C397" s="22" t="s">
        <v>401</v>
      </c>
      <c r="D397" s="22" t="s">
        <v>48</v>
      </c>
      <c r="E397" s="23">
        <f>SUMIF($D398:$D401,"Task",$E398:$E401)</f>
        <v>0</v>
      </c>
      <c r="F397" s="22"/>
      <c r="G397" s="23"/>
      <c r="H397" s="23"/>
      <c r="I397" s="24">
        <f>MIN($I398:$I401)</f>
        <v>46269</v>
      </c>
      <c r="J397" s="24">
        <f>MAX($J398:$J401)</f>
        <v>46280</v>
      </c>
    </row>
    <row r="398" spans="1:10" x14ac:dyDescent="0.25">
      <c r="A398" s="25" t="s">
        <v>10</v>
      </c>
      <c r="B398" s="25" t="s">
        <v>307</v>
      </c>
      <c r="C398" s="25" t="s">
        <v>50</v>
      </c>
      <c r="D398" s="25" t="s">
        <v>51</v>
      </c>
      <c r="E398" s="26">
        <v>0</v>
      </c>
      <c r="F398" s="25" t="s">
        <v>78</v>
      </c>
      <c r="G398" s="27">
        <f>$H$376</f>
        <v>54</v>
      </c>
      <c r="H398" s="27">
        <f>$G398+$E398</f>
        <v>54</v>
      </c>
      <c r="I398" s="28">
        <f>WORKDAY(Settings!$D$11,INT($G398/HoursPerDay)+1,Holidays)</f>
        <v>46269</v>
      </c>
      <c r="J398" s="28">
        <f>IF($E398=0,$I398,WORKDAY(Settings!$D$11,ROUNDUP($H398/HoursPerDay,0),Holidays))</f>
        <v>46269</v>
      </c>
    </row>
    <row r="399" spans="1:10" x14ac:dyDescent="0.25">
      <c r="A399" s="25" t="s">
        <v>10</v>
      </c>
      <c r="B399" s="25" t="s">
        <v>308</v>
      </c>
      <c r="C399" s="25" t="s">
        <v>54</v>
      </c>
      <c r="D399" s="25" t="s">
        <v>51</v>
      </c>
      <c r="E399" s="26">
        <v>0</v>
      </c>
      <c r="F399" s="25" t="s">
        <v>52</v>
      </c>
      <c r="G399" s="27">
        <f>$H$393</f>
        <v>101</v>
      </c>
      <c r="H399" s="27">
        <f>$G399+$E399</f>
        <v>101</v>
      </c>
      <c r="I399" s="28">
        <f>WORKDAY(Settings!$D$11,INT($G399/HoursPerDay)+1,Holidays)</f>
        <v>46280</v>
      </c>
      <c r="J399" s="28">
        <f>IF($E399=0,$I399,WORKDAY(Settings!$D$11,ROUNDUP($H399/HoursPerDay,0),Holidays))</f>
        <v>46280</v>
      </c>
    </row>
    <row r="400" spans="1:10" x14ac:dyDescent="0.25">
      <c r="A400" s="25" t="s">
        <v>10</v>
      </c>
      <c r="B400" s="25" t="s">
        <v>309</v>
      </c>
      <c r="C400" s="25" t="s">
        <v>56</v>
      </c>
      <c r="D400" s="25" t="s">
        <v>51</v>
      </c>
      <c r="E400" s="26">
        <v>0</v>
      </c>
      <c r="F400" s="25" t="s">
        <v>57</v>
      </c>
      <c r="G400" s="27">
        <f>$H$394</f>
        <v>93</v>
      </c>
      <c r="H400" s="27">
        <f>$G400+$E400</f>
        <v>93</v>
      </c>
      <c r="I400" s="28">
        <f>WORKDAY(Settings!$D$11,INT($G400/HoursPerDay)+1,Holidays)</f>
        <v>46279</v>
      </c>
      <c r="J400" s="28">
        <f>IF($E400=0,$I400,WORKDAY(Settings!$D$11,ROUNDUP($H400/HoursPerDay,0),Holidays))</f>
        <v>46279</v>
      </c>
    </row>
    <row r="401" spans="1:10" x14ac:dyDescent="0.25">
      <c r="A401" s="25" t="s">
        <v>10</v>
      </c>
      <c r="B401" s="25" t="s">
        <v>402</v>
      </c>
      <c r="C401" s="25" t="s">
        <v>59</v>
      </c>
      <c r="D401" s="25" t="s">
        <v>51</v>
      </c>
      <c r="E401" s="26">
        <v>0</v>
      </c>
      <c r="F401" s="25" t="s">
        <v>60</v>
      </c>
      <c r="G401" s="27">
        <f>$H$395</f>
        <v>89</v>
      </c>
      <c r="H401" s="27">
        <f>$G401+$E401</f>
        <v>89</v>
      </c>
      <c r="I401" s="28">
        <f>WORKDAY(Settings!$D$11,INT($G401/HoursPerDay)+1,Holidays)</f>
        <v>46276</v>
      </c>
      <c r="J401" s="28">
        <f>IF($E401=0,$I401,WORKDAY(Settings!$D$11,ROUNDUP($H401/HoursPerDay,0),Holidays))</f>
        <v>46276</v>
      </c>
    </row>
    <row r="402" spans="1:10" x14ac:dyDescent="0.25">
      <c r="A402" s="22" t="s">
        <v>10</v>
      </c>
      <c r="B402" s="22" t="s">
        <v>310</v>
      </c>
      <c r="C402" s="22" t="s">
        <v>403</v>
      </c>
      <c r="D402" s="22" t="s">
        <v>48</v>
      </c>
      <c r="E402" s="23">
        <f>SUMIF($D403:$D405,"Task",$E403:$E405)</f>
        <v>10</v>
      </c>
      <c r="F402" s="22"/>
      <c r="G402" s="23"/>
      <c r="H402" s="23"/>
      <c r="I402" s="24">
        <f>MIN($I403:$I405)</f>
        <v>46276</v>
      </c>
      <c r="J402" s="24">
        <f>MAX($J403:$J405)</f>
        <v>46280</v>
      </c>
    </row>
    <row r="403" spans="1:10" x14ac:dyDescent="0.25">
      <c r="A403" s="25" t="s">
        <v>10</v>
      </c>
      <c r="B403" s="25" t="s">
        <v>312</v>
      </c>
      <c r="C403" s="25" t="s">
        <v>54</v>
      </c>
      <c r="D403" s="25" t="s">
        <v>51</v>
      </c>
      <c r="E403" s="26">
        <v>4</v>
      </c>
      <c r="F403" s="25" t="s">
        <v>52</v>
      </c>
      <c r="G403" s="27">
        <f>$H$399</f>
        <v>101</v>
      </c>
      <c r="H403" s="27">
        <f>$G403+$E403</f>
        <v>105</v>
      </c>
      <c r="I403" s="28">
        <f>WORKDAY(Settings!$D$11,INT($G403/HoursPerDay)+1,Holidays)</f>
        <v>46280</v>
      </c>
      <c r="J403" s="28">
        <f>IF($E403=0,$I403,WORKDAY(Settings!$D$11,ROUNDUP($H403/HoursPerDay,0),Holidays))</f>
        <v>46280</v>
      </c>
    </row>
    <row r="404" spans="1:10" x14ac:dyDescent="0.25">
      <c r="A404" s="25" t="s">
        <v>10</v>
      </c>
      <c r="B404" s="25" t="s">
        <v>313</v>
      </c>
      <c r="C404" s="25" t="s">
        <v>56</v>
      </c>
      <c r="D404" s="25" t="s">
        <v>51</v>
      </c>
      <c r="E404" s="26">
        <v>3</v>
      </c>
      <c r="F404" s="25" t="s">
        <v>57</v>
      </c>
      <c r="G404" s="27">
        <f>$H$400</f>
        <v>93</v>
      </c>
      <c r="H404" s="27">
        <f>$G404+$E404</f>
        <v>96</v>
      </c>
      <c r="I404" s="28">
        <f>WORKDAY(Settings!$D$11,INT($G404/HoursPerDay)+1,Holidays)</f>
        <v>46279</v>
      </c>
      <c r="J404" s="28">
        <f>IF($E404=0,$I404,WORKDAY(Settings!$D$11,ROUNDUP($H404/HoursPerDay,0),Holidays))</f>
        <v>46279</v>
      </c>
    </row>
    <row r="405" spans="1:10" x14ac:dyDescent="0.25">
      <c r="A405" s="25" t="s">
        <v>10</v>
      </c>
      <c r="B405" s="25" t="s">
        <v>314</v>
      </c>
      <c r="C405" s="25" t="s">
        <v>59</v>
      </c>
      <c r="D405" s="25" t="s">
        <v>51</v>
      </c>
      <c r="E405" s="26">
        <v>3</v>
      </c>
      <c r="F405" s="25" t="s">
        <v>60</v>
      </c>
      <c r="G405" s="27">
        <f>$H$401</f>
        <v>89</v>
      </c>
      <c r="H405" s="27">
        <f>$G405+$E405</f>
        <v>92</v>
      </c>
      <c r="I405" s="28">
        <f>WORKDAY(Settings!$D$11,INT($G405/HoursPerDay)+1,Holidays)</f>
        <v>46276</v>
      </c>
      <c r="J405" s="28">
        <f>IF($E405=0,$I405,WORKDAY(Settings!$D$11,ROUNDUP($H405/HoursPerDay,0),Holidays))</f>
        <v>46279</v>
      </c>
    </row>
    <row r="406" spans="1:10" x14ac:dyDescent="0.25">
      <c r="A406" s="22" t="s">
        <v>10</v>
      </c>
      <c r="B406" s="22" t="s">
        <v>315</v>
      </c>
      <c r="C406" s="22" t="s">
        <v>404</v>
      </c>
      <c r="D406" s="22" t="s">
        <v>48</v>
      </c>
      <c r="E406" s="23">
        <f>SUMIF($D407:$D409,"Task",$E407:$E409)</f>
        <v>10</v>
      </c>
      <c r="F406" s="22"/>
      <c r="G406" s="23"/>
      <c r="H406" s="23"/>
      <c r="I406" s="24">
        <f>MIN($I407:$I409)</f>
        <v>46279</v>
      </c>
      <c r="J406" s="24">
        <f>MAX($J407:$J409)</f>
        <v>46281</v>
      </c>
    </row>
    <row r="407" spans="1:10" x14ac:dyDescent="0.25">
      <c r="A407" s="25" t="s">
        <v>10</v>
      </c>
      <c r="B407" s="25" t="s">
        <v>317</v>
      </c>
      <c r="C407" s="25" t="s">
        <v>54</v>
      </c>
      <c r="D407" s="25" t="s">
        <v>51</v>
      </c>
      <c r="E407" s="26">
        <v>4</v>
      </c>
      <c r="F407" s="25" t="s">
        <v>52</v>
      </c>
      <c r="G407" s="27">
        <f>$H$403</f>
        <v>105</v>
      </c>
      <c r="H407" s="27">
        <f>$G407+$E407</f>
        <v>109</v>
      </c>
      <c r="I407" s="28">
        <f>WORKDAY(Settings!$D$11,INT($G407/HoursPerDay)+1,Holidays)</f>
        <v>46281</v>
      </c>
      <c r="J407" s="28">
        <f>IF($E407=0,$I407,WORKDAY(Settings!$D$11,ROUNDUP($H407/HoursPerDay,0),Holidays))</f>
        <v>46281</v>
      </c>
    </row>
    <row r="408" spans="1:10" x14ac:dyDescent="0.25">
      <c r="A408" s="25" t="s">
        <v>10</v>
      </c>
      <c r="B408" s="25" t="s">
        <v>318</v>
      </c>
      <c r="C408" s="25" t="s">
        <v>56</v>
      </c>
      <c r="D408" s="25" t="s">
        <v>51</v>
      </c>
      <c r="E408" s="26">
        <v>3</v>
      </c>
      <c r="F408" s="25" t="s">
        <v>57</v>
      </c>
      <c r="G408" s="27">
        <f>$H$404</f>
        <v>96</v>
      </c>
      <c r="H408" s="27">
        <f>$G408+$E408</f>
        <v>99</v>
      </c>
      <c r="I408" s="28">
        <f>WORKDAY(Settings!$D$11,INT($G408/HoursPerDay)+1,Holidays)</f>
        <v>46279</v>
      </c>
      <c r="J408" s="28">
        <f>IF($E408=0,$I408,WORKDAY(Settings!$D$11,ROUNDUP($H408/HoursPerDay,0),Holidays))</f>
        <v>46280</v>
      </c>
    </row>
    <row r="409" spans="1:10" x14ac:dyDescent="0.25">
      <c r="A409" s="25" t="s">
        <v>10</v>
      </c>
      <c r="B409" s="25" t="s">
        <v>319</v>
      </c>
      <c r="C409" s="25" t="s">
        <v>59</v>
      </c>
      <c r="D409" s="25" t="s">
        <v>51</v>
      </c>
      <c r="E409" s="26">
        <v>3</v>
      </c>
      <c r="F409" s="25" t="s">
        <v>60</v>
      </c>
      <c r="G409" s="27">
        <f>$H$405</f>
        <v>92</v>
      </c>
      <c r="H409" s="27">
        <f>$G409+$E409</f>
        <v>95</v>
      </c>
      <c r="I409" s="28">
        <f>WORKDAY(Settings!$D$11,INT($G409/HoursPerDay)+1,Holidays)</f>
        <v>46279</v>
      </c>
      <c r="J409" s="28">
        <f>IF($E409=0,$I409,WORKDAY(Settings!$D$11,ROUNDUP($H409/HoursPerDay,0),Holidays))</f>
        <v>46279</v>
      </c>
    </row>
    <row r="410" spans="1:10" x14ac:dyDescent="0.25">
      <c r="A410" s="22" t="s">
        <v>10</v>
      </c>
      <c r="B410" s="22" t="s">
        <v>320</v>
      </c>
      <c r="C410" s="22" t="s">
        <v>405</v>
      </c>
      <c r="D410" s="22" t="s">
        <v>48</v>
      </c>
      <c r="E410" s="23">
        <f>SUMIF($D411:$D413,"Task",$E411:$E413)</f>
        <v>4</v>
      </c>
      <c r="F410" s="22"/>
      <c r="G410" s="23"/>
      <c r="H410" s="23"/>
      <c r="I410" s="24">
        <f>MIN($I411:$I413)</f>
        <v>46279</v>
      </c>
      <c r="J410" s="24">
        <f>MAX($J411:$J413)</f>
        <v>46281</v>
      </c>
    </row>
    <row r="411" spans="1:10" x14ac:dyDescent="0.25">
      <c r="A411" s="25" t="s">
        <v>10</v>
      </c>
      <c r="B411" s="25" t="s">
        <v>322</v>
      </c>
      <c r="C411" s="25" t="s">
        <v>54</v>
      </c>
      <c r="D411" s="25" t="s">
        <v>51</v>
      </c>
      <c r="E411" s="26">
        <v>2</v>
      </c>
      <c r="F411" s="25" t="s">
        <v>52</v>
      </c>
      <c r="G411" s="27">
        <f>$H$407</f>
        <v>109</v>
      </c>
      <c r="H411" s="27">
        <f>$G411+$E411</f>
        <v>111</v>
      </c>
      <c r="I411" s="28">
        <f>WORKDAY(Settings!$D$11,INT($G411/HoursPerDay)+1,Holidays)</f>
        <v>46281</v>
      </c>
      <c r="J411" s="28">
        <f>IF($E411=0,$I411,WORKDAY(Settings!$D$11,ROUNDUP($H411/HoursPerDay,0),Holidays))</f>
        <v>46281</v>
      </c>
    </row>
    <row r="412" spans="1:10" x14ac:dyDescent="0.25">
      <c r="A412" s="25" t="s">
        <v>10</v>
      </c>
      <c r="B412" s="25" t="s">
        <v>323</v>
      </c>
      <c r="C412" s="25" t="s">
        <v>56</v>
      </c>
      <c r="D412" s="25" t="s">
        <v>51</v>
      </c>
      <c r="E412" s="26">
        <v>1</v>
      </c>
      <c r="F412" s="25" t="s">
        <v>57</v>
      </c>
      <c r="G412" s="27">
        <f>$H$408</f>
        <v>99</v>
      </c>
      <c r="H412" s="27">
        <f>$G412+$E412</f>
        <v>100</v>
      </c>
      <c r="I412" s="28">
        <f>WORKDAY(Settings!$D$11,INT($G412/HoursPerDay)+1,Holidays)</f>
        <v>46280</v>
      </c>
      <c r="J412" s="28">
        <f>IF($E412=0,$I412,WORKDAY(Settings!$D$11,ROUNDUP($H412/HoursPerDay,0),Holidays))</f>
        <v>46280</v>
      </c>
    </row>
    <row r="413" spans="1:10" x14ac:dyDescent="0.25">
      <c r="A413" s="25" t="s">
        <v>10</v>
      </c>
      <c r="B413" s="25" t="s">
        <v>324</v>
      </c>
      <c r="C413" s="25" t="s">
        <v>59</v>
      </c>
      <c r="D413" s="25" t="s">
        <v>51</v>
      </c>
      <c r="E413" s="26">
        <v>1</v>
      </c>
      <c r="F413" s="25" t="s">
        <v>60</v>
      </c>
      <c r="G413" s="27">
        <f>$H$409</f>
        <v>95</v>
      </c>
      <c r="H413" s="27">
        <f>$G413+$E413</f>
        <v>96</v>
      </c>
      <c r="I413" s="28">
        <f>WORKDAY(Settings!$D$11,INT($G413/HoursPerDay)+1,Holidays)</f>
        <v>46279</v>
      </c>
      <c r="J413" s="28">
        <f>IF($E413=0,$I413,WORKDAY(Settings!$D$11,ROUNDUP($H413/HoursPerDay,0),Holidays))</f>
        <v>46279</v>
      </c>
    </row>
    <row r="414" spans="1:10" x14ac:dyDescent="0.25">
      <c r="A414" s="19" t="s">
        <v>10</v>
      </c>
      <c r="B414" s="19" t="s">
        <v>406</v>
      </c>
      <c r="C414" s="19" t="s">
        <v>407</v>
      </c>
      <c r="D414" s="19" t="s">
        <v>45</v>
      </c>
      <c r="E414" s="20">
        <f>SUMIF($D415:$D416,"Task",$E415:$E416)</f>
        <v>6</v>
      </c>
      <c r="F414" s="19"/>
      <c r="G414" s="20"/>
      <c r="H414" s="20"/>
      <c r="I414" s="21">
        <f>MIN($I415:$I416)</f>
        <v>46279</v>
      </c>
      <c r="J414" s="21">
        <f>MAX($J415:$J416)</f>
        <v>46280</v>
      </c>
    </row>
    <row r="415" spans="1:10" x14ac:dyDescent="0.25">
      <c r="A415" s="22" t="s">
        <v>10</v>
      </c>
      <c r="B415" s="22" t="s">
        <v>408</v>
      </c>
      <c r="C415" s="22" t="s">
        <v>409</v>
      </c>
      <c r="D415" s="22" t="s">
        <v>48</v>
      </c>
      <c r="E415" s="23">
        <f>SUMIF($D416:$D416,"Task",$E416:$E416)</f>
        <v>6</v>
      </c>
      <c r="F415" s="22"/>
      <c r="G415" s="23"/>
      <c r="H415" s="23"/>
      <c r="I415" s="24">
        <f>MIN($I416:$I416)</f>
        <v>46279</v>
      </c>
      <c r="J415" s="24">
        <f>MAX($J416:$J416)</f>
        <v>46280</v>
      </c>
    </row>
    <row r="416" spans="1:10" x14ac:dyDescent="0.25">
      <c r="A416" s="25" t="s">
        <v>10</v>
      </c>
      <c r="B416" s="25" t="s">
        <v>410</v>
      </c>
      <c r="C416" s="25" t="s">
        <v>59</v>
      </c>
      <c r="D416" s="25" t="s">
        <v>51</v>
      </c>
      <c r="E416" s="26">
        <v>6</v>
      </c>
      <c r="F416" s="25" t="s">
        <v>60</v>
      </c>
      <c r="G416" s="27">
        <f>$H$413</f>
        <v>96</v>
      </c>
      <c r="H416" s="27">
        <f>$G416+$E416</f>
        <v>102</v>
      </c>
      <c r="I416" s="28">
        <f>WORKDAY(Settings!$D$11,INT($G416/HoursPerDay)+1,Holidays)</f>
        <v>46279</v>
      </c>
      <c r="J416" s="28">
        <f>IF($E416=0,$I416,WORKDAY(Settings!$D$11,ROUNDUP($H416/HoursPerDay,0),Holidays))</f>
        <v>46280</v>
      </c>
    </row>
    <row r="417" spans="1:10" x14ac:dyDescent="0.25">
      <c r="A417" s="19" t="s">
        <v>10</v>
      </c>
      <c r="B417" s="19" t="s">
        <v>411</v>
      </c>
      <c r="C417" s="19" t="s">
        <v>412</v>
      </c>
      <c r="D417" s="19" t="s">
        <v>45</v>
      </c>
      <c r="E417" s="20">
        <f>SUMIF($D418:$D432,"Task",$E418:$E432)</f>
        <v>33</v>
      </c>
      <c r="F417" s="19"/>
      <c r="G417" s="20"/>
      <c r="H417" s="20"/>
      <c r="I417" s="21">
        <f>MIN($I418:$I432)</f>
        <v>46269</v>
      </c>
      <c r="J417" s="21">
        <f>MAX($J418:$J432)</f>
        <v>46281</v>
      </c>
    </row>
    <row r="418" spans="1:10" x14ac:dyDescent="0.25">
      <c r="A418" s="22" t="s">
        <v>10</v>
      </c>
      <c r="B418" s="22" t="s">
        <v>413</v>
      </c>
      <c r="C418" s="22" t="s">
        <v>414</v>
      </c>
      <c r="D418" s="22" t="s">
        <v>48</v>
      </c>
      <c r="E418" s="23">
        <f>SUMIF($D419:$D422,"Task",$E419:$E422)</f>
        <v>14</v>
      </c>
      <c r="F418" s="22"/>
      <c r="G418" s="23"/>
      <c r="H418" s="23"/>
      <c r="I418" s="24">
        <f>MIN($I419:$I422)</f>
        <v>46269</v>
      </c>
      <c r="J418" s="24">
        <f>MAX($J419:$J422)</f>
        <v>46281</v>
      </c>
    </row>
    <row r="419" spans="1:10" x14ac:dyDescent="0.25">
      <c r="A419" s="25" t="s">
        <v>10</v>
      </c>
      <c r="B419" s="25" t="s">
        <v>415</v>
      </c>
      <c r="C419" s="25" t="s">
        <v>50</v>
      </c>
      <c r="D419" s="25" t="s">
        <v>51</v>
      </c>
      <c r="E419" s="26">
        <v>2</v>
      </c>
      <c r="F419" s="25" t="s">
        <v>78</v>
      </c>
      <c r="G419" s="27">
        <f>$H$398</f>
        <v>54</v>
      </c>
      <c r="H419" s="27">
        <f>$G419+$E419</f>
        <v>56</v>
      </c>
      <c r="I419" s="28">
        <f>WORKDAY(Settings!$D$11,INT($G419/HoursPerDay)+1,Holidays)</f>
        <v>46269</v>
      </c>
      <c r="J419" s="28">
        <f>IF($E419=0,$I419,WORKDAY(Settings!$D$11,ROUNDUP($H419/HoursPerDay,0),Holidays))</f>
        <v>46269</v>
      </c>
    </row>
    <row r="420" spans="1:10" x14ac:dyDescent="0.25">
      <c r="A420" s="25" t="s">
        <v>10</v>
      </c>
      <c r="B420" s="25" t="s">
        <v>416</v>
      </c>
      <c r="C420" s="25" t="s">
        <v>54</v>
      </c>
      <c r="D420" s="25" t="s">
        <v>51</v>
      </c>
      <c r="E420" s="26">
        <v>4</v>
      </c>
      <c r="F420" s="25" t="s">
        <v>78</v>
      </c>
      <c r="G420" s="27">
        <f>$H$419</f>
        <v>56</v>
      </c>
      <c r="H420" s="27">
        <f>$G420+$E420</f>
        <v>60</v>
      </c>
      <c r="I420" s="28">
        <f>WORKDAY(Settings!$D$11,INT($G420/HoursPerDay)+1,Holidays)</f>
        <v>46272</v>
      </c>
      <c r="J420" s="28">
        <f>IF($E420=0,$I420,WORKDAY(Settings!$D$11,ROUNDUP($H420/HoursPerDay,0),Holidays))</f>
        <v>46272</v>
      </c>
    </row>
    <row r="421" spans="1:10" x14ac:dyDescent="0.25">
      <c r="A421" s="25" t="s">
        <v>10</v>
      </c>
      <c r="B421" s="25" t="s">
        <v>417</v>
      </c>
      <c r="C421" s="25" t="s">
        <v>56</v>
      </c>
      <c r="D421" s="25" t="s">
        <v>51</v>
      </c>
      <c r="E421" s="26">
        <v>4</v>
      </c>
      <c r="F421" s="25" t="s">
        <v>78</v>
      </c>
      <c r="G421" s="27">
        <f>$H$420</f>
        <v>60</v>
      </c>
      <c r="H421" s="27">
        <f>$G421+$E421</f>
        <v>64</v>
      </c>
      <c r="I421" s="28">
        <f>WORKDAY(Settings!$D$11,INT($G421/HoursPerDay)+1,Holidays)</f>
        <v>46272</v>
      </c>
      <c r="J421" s="28">
        <f>IF($E421=0,$I421,WORKDAY(Settings!$D$11,ROUNDUP($H421/HoursPerDay,0),Holidays))</f>
        <v>46273</v>
      </c>
    </row>
    <row r="422" spans="1:10" x14ac:dyDescent="0.25">
      <c r="A422" s="25" t="s">
        <v>10</v>
      </c>
      <c r="B422" s="25" t="s">
        <v>418</v>
      </c>
      <c r="C422" s="25" t="s">
        <v>59</v>
      </c>
      <c r="D422" s="25" t="s">
        <v>51</v>
      </c>
      <c r="E422" s="26">
        <v>4</v>
      </c>
      <c r="F422" s="25" t="s">
        <v>60</v>
      </c>
      <c r="G422" s="27">
        <f>$H$416</f>
        <v>102</v>
      </c>
      <c r="H422" s="27">
        <f>$G422+$E422</f>
        <v>106</v>
      </c>
      <c r="I422" s="28">
        <f>WORKDAY(Settings!$D$11,INT($G422/HoursPerDay)+1,Holidays)</f>
        <v>46280</v>
      </c>
      <c r="J422" s="28">
        <f>IF($E422=0,$I422,WORKDAY(Settings!$D$11,ROUNDUP($H422/HoursPerDay,0),Holidays))</f>
        <v>46281</v>
      </c>
    </row>
    <row r="423" spans="1:10" x14ac:dyDescent="0.25">
      <c r="A423" s="22" t="s">
        <v>10</v>
      </c>
      <c r="B423" s="22" t="s">
        <v>419</v>
      </c>
      <c r="C423" s="22" t="s">
        <v>420</v>
      </c>
      <c r="D423" s="22" t="s">
        <v>48</v>
      </c>
      <c r="E423" s="23">
        <f>SUMIF($D424:$D426,"Task",$E424:$E426)</f>
        <v>12</v>
      </c>
      <c r="F423" s="22"/>
      <c r="G423" s="23"/>
      <c r="H423" s="23"/>
      <c r="I423" s="24">
        <f>MIN($I424:$I426)</f>
        <v>46273</v>
      </c>
      <c r="J423" s="24">
        <f>MAX($J424:$J426)</f>
        <v>46281</v>
      </c>
    </row>
    <row r="424" spans="1:10" x14ac:dyDescent="0.25">
      <c r="A424" s="25" t="s">
        <v>10</v>
      </c>
      <c r="B424" s="25" t="s">
        <v>421</v>
      </c>
      <c r="C424" s="25" t="s">
        <v>54</v>
      </c>
      <c r="D424" s="25" t="s">
        <v>51</v>
      </c>
      <c r="E424" s="26">
        <v>4</v>
      </c>
      <c r="F424" s="25" t="s">
        <v>78</v>
      </c>
      <c r="G424" s="27">
        <f>$H$421</f>
        <v>64</v>
      </c>
      <c r="H424" s="27">
        <f>$G424+$E424</f>
        <v>68</v>
      </c>
      <c r="I424" s="28">
        <f>WORKDAY(Settings!$D$11,INT($G424/HoursPerDay)+1,Holidays)</f>
        <v>46273</v>
      </c>
      <c r="J424" s="28">
        <f>IF($E424=0,$I424,WORKDAY(Settings!$D$11,ROUNDUP($H424/HoursPerDay,0),Holidays))</f>
        <v>46273</v>
      </c>
    </row>
    <row r="425" spans="1:10" x14ac:dyDescent="0.25">
      <c r="A425" s="25" t="s">
        <v>10</v>
      </c>
      <c r="B425" s="25" t="s">
        <v>422</v>
      </c>
      <c r="C425" s="25" t="s">
        <v>56</v>
      </c>
      <c r="D425" s="25" t="s">
        <v>51</v>
      </c>
      <c r="E425" s="26">
        <v>4</v>
      </c>
      <c r="F425" s="25" t="s">
        <v>78</v>
      </c>
      <c r="G425" s="27">
        <f>$H$424</f>
        <v>68</v>
      </c>
      <c r="H425" s="27">
        <f>$G425+$E425</f>
        <v>72</v>
      </c>
      <c r="I425" s="28">
        <f>WORKDAY(Settings!$D$11,INT($G425/HoursPerDay)+1,Holidays)</f>
        <v>46273</v>
      </c>
      <c r="J425" s="28">
        <f>IF($E425=0,$I425,WORKDAY(Settings!$D$11,ROUNDUP($H425/HoursPerDay,0),Holidays))</f>
        <v>46274</v>
      </c>
    </row>
    <row r="426" spans="1:10" x14ac:dyDescent="0.25">
      <c r="A426" s="25" t="s">
        <v>10</v>
      </c>
      <c r="B426" s="25" t="s">
        <v>423</v>
      </c>
      <c r="C426" s="25" t="s">
        <v>59</v>
      </c>
      <c r="D426" s="25" t="s">
        <v>51</v>
      </c>
      <c r="E426" s="26">
        <v>4</v>
      </c>
      <c r="F426" s="25" t="s">
        <v>60</v>
      </c>
      <c r="G426" s="27">
        <f>$H$422</f>
        <v>106</v>
      </c>
      <c r="H426" s="27">
        <f>$G426+$E426</f>
        <v>110</v>
      </c>
      <c r="I426" s="28">
        <f>WORKDAY(Settings!$D$11,INT($G426/HoursPerDay)+1,Holidays)</f>
        <v>46281</v>
      </c>
      <c r="J426" s="28">
        <f>IF($E426=0,$I426,WORKDAY(Settings!$D$11,ROUNDUP($H426/HoursPerDay,0),Holidays))</f>
        <v>46281</v>
      </c>
    </row>
    <row r="427" spans="1:10" x14ac:dyDescent="0.25">
      <c r="A427" s="22" t="s">
        <v>10</v>
      </c>
      <c r="B427" s="22" t="s">
        <v>424</v>
      </c>
      <c r="C427" s="22" t="s">
        <v>425</v>
      </c>
      <c r="D427" s="22" t="s">
        <v>48</v>
      </c>
      <c r="E427" s="23">
        <f>SUMIF($D428:$D429,"Task",$E428:$E429)</f>
        <v>0</v>
      </c>
      <c r="F427" s="22"/>
      <c r="G427" s="23"/>
      <c r="H427" s="23"/>
      <c r="I427" s="24">
        <f>MIN($I428:$I429)</f>
        <v>46274</v>
      </c>
      <c r="J427" s="24">
        <f>MAX($J428:$J429)</f>
        <v>46274</v>
      </c>
    </row>
    <row r="428" spans="1:10" x14ac:dyDescent="0.25">
      <c r="A428" s="25" t="s">
        <v>10</v>
      </c>
      <c r="B428" s="25" t="s">
        <v>426</v>
      </c>
      <c r="C428" s="25" t="s">
        <v>54</v>
      </c>
      <c r="D428" s="25" t="s">
        <v>51</v>
      </c>
      <c r="E428" s="26">
        <v>0</v>
      </c>
      <c r="F428" s="25" t="s">
        <v>78</v>
      </c>
      <c r="G428" s="27">
        <f>$H$425</f>
        <v>72</v>
      </c>
      <c r="H428" s="27">
        <f>$G428+$E428</f>
        <v>72</v>
      </c>
      <c r="I428" s="28">
        <f>WORKDAY(Settings!$D$11,INT($G428/HoursPerDay)+1,Holidays)</f>
        <v>46274</v>
      </c>
      <c r="J428" s="28">
        <f>IF($E428=0,$I428,WORKDAY(Settings!$D$11,ROUNDUP($H428/HoursPerDay,0),Holidays))</f>
        <v>46274</v>
      </c>
    </row>
    <row r="429" spans="1:10" x14ac:dyDescent="0.25">
      <c r="A429" s="25" t="s">
        <v>10</v>
      </c>
      <c r="B429" s="25" t="s">
        <v>427</v>
      </c>
      <c r="C429" s="25" t="s">
        <v>56</v>
      </c>
      <c r="D429" s="25" t="s">
        <v>51</v>
      </c>
      <c r="E429" s="26">
        <v>0</v>
      </c>
      <c r="F429" s="25" t="s">
        <v>78</v>
      </c>
      <c r="G429" s="27">
        <f>$H$428</f>
        <v>72</v>
      </c>
      <c r="H429" s="27">
        <f>$G429+$E429</f>
        <v>72</v>
      </c>
      <c r="I429" s="28">
        <f>WORKDAY(Settings!$D$11,INT($G429/HoursPerDay)+1,Holidays)</f>
        <v>46274</v>
      </c>
      <c r="J429" s="28">
        <f>IF($E429=0,$I429,WORKDAY(Settings!$D$11,ROUNDUP($H429/HoursPerDay,0),Holidays))</f>
        <v>46274</v>
      </c>
    </row>
    <row r="430" spans="1:10" x14ac:dyDescent="0.25">
      <c r="A430" s="22" t="s">
        <v>10</v>
      </c>
      <c r="B430" s="22" t="s">
        <v>428</v>
      </c>
      <c r="C430" s="22" t="s">
        <v>429</v>
      </c>
      <c r="D430" s="22" t="s">
        <v>48</v>
      </c>
      <c r="E430" s="23">
        <f>SUMIF($D431:$D432,"Task",$E431:$E432)</f>
        <v>7</v>
      </c>
      <c r="F430" s="22"/>
      <c r="G430" s="23"/>
      <c r="H430" s="23"/>
      <c r="I430" s="24">
        <f>MIN($I431:$I432)</f>
        <v>46274</v>
      </c>
      <c r="J430" s="24">
        <f>MAX($J431:$J432)</f>
        <v>46275</v>
      </c>
    </row>
    <row r="431" spans="1:10" x14ac:dyDescent="0.25">
      <c r="A431" s="25" t="s">
        <v>10</v>
      </c>
      <c r="B431" s="25" t="s">
        <v>430</v>
      </c>
      <c r="C431" s="25" t="s">
        <v>54</v>
      </c>
      <c r="D431" s="25" t="s">
        <v>51</v>
      </c>
      <c r="E431" s="26">
        <v>4</v>
      </c>
      <c r="F431" s="25" t="s">
        <v>78</v>
      </c>
      <c r="G431" s="27">
        <f>$H$429</f>
        <v>72</v>
      </c>
      <c r="H431" s="27">
        <f>$G431+$E431</f>
        <v>76</v>
      </c>
      <c r="I431" s="28">
        <f>WORKDAY(Settings!$D$11,INT($G431/HoursPerDay)+1,Holidays)</f>
        <v>46274</v>
      </c>
      <c r="J431" s="28">
        <f>IF($E431=0,$I431,WORKDAY(Settings!$D$11,ROUNDUP($H431/HoursPerDay,0),Holidays))</f>
        <v>46274</v>
      </c>
    </row>
    <row r="432" spans="1:10" x14ac:dyDescent="0.25">
      <c r="A432" s="25" t="s">
        <v>10</v>
      </c>
      <c r="B432" s="25" t="s">
        <v>431</v>
      </c>
      <c r="C432" s="25" t="s">
        <v>56</v>
      </c>
      <c r="D432" s="25" t="s">
        <v>51</v>
      </c>
      <c r="E432" s="26">
        <v>3</v>
      </c>
      <c r="F432" s="25" t="s">
        <v>78</v>
      </c>
      <c r="G432" s="27">
        <f>$H$431</f>
        <v>76</v>
      </c>
      <c r="H432" s="27">
        <f>$G432+$E432</f>
        <v>79</v>
      </c>
      <c r="I432" s="28">
        <f>WORKDAY(Settings!$D$11,INT($G432/HoursPerDay)+1,Holidays)</f>
        <v>46274</v>
      </c>
      <c r="J432" s="28">
        <f>IF($E432=0,$I432,WORKDAY(Settings!$D$11,ROUNDUP($H432/HoursPerDay,0),Holidays))</f>
        <v>46275</v>
      </c>
    </row>
    <row r="433" spans="1:10" x14ac:dyDescent="0.25">
      <c r="A433" s="16" t="s">
        <v>11</v>
      </c>
      <c r="B433" s="16" t="s">
        <v>40</v>
      </c>
      <c r="C433" s="16" t="s">
        <v>432</v>
      </c>
      <c r="D433" s="16" t="s">
        <v>42</v>
      </c>
      <c r="E433" s="17">
        <f>SUMIF($D434:$D619,"Task",$E434:$E619)</f>
        <v>558</v>
      </c>
      <c r="F433" s="16"/>
      <c r="G433" s="17"/>
      <c r="H433" s="17"/>
      <c r="I433" s="18">
        <f>MIN($I434:$I619)</f>
        <v>46293</v>
      </c>
      <c r="J433" s="18">
        <f>MAX($J434:$J619)</f>
        <v>46324</v>
      </c>
    </row>
    <row r="434" spans="1:10" x14ac:dyDescent="0.25">
      <c r="A434" s="19" t="s">
        <v>11</v>
      </c>
      <c r="B434" s="19" t="s">
        <v>43</v>
      </c>
      <c r="C434" s="19" t="s">
        <v>433</v>
      </c>
      <c r="D434" s="19" t="s">
        <v>45</v>
      </c>
      <c r="E434" s="20">
        <f>SUMIF($D435:$D459,"Task",$E435:$E459)</f>
        <v>84</v>
      </c>
      <c r="F434" s="19"/>
      <c r="G434" s="20"/>
      <c r="H434" s="20"/>
      <c r="I434" s="21">
        <f>MIN($I435:$I459)</f>
        <v>46293</v>
      </c>
      <c r="J434" s="21">
        <f>MAX($J435:$J459)</f>
        <v>46296</v>
      </c>
    </row>
    <row r="435" spans="1:10" x14ac:dyDescent="0.25">
      <c r="A435" s="22" t="s">
        <v>11</v>
      </c>
      <c r="B435" s="22" t="s">
        <v>46</v>
      </c>
      <c r="C435" s="22" t="s">
        <v>434</v>
      </c>
      <c r="D435" s="22" t="s">
        <v>48</v>
      </c>
      <c r="E435" s="23">
        <f>SUMIF($D436:$D439,"Task",$E436:$E439)</f>
        <v>18</v>
      </c>
      <c r="F435" s="22"/>
      <c r="G435" s="23"/>
      <c r="H435" s="23"/>
      <c r="I435" s="24">
        <f>MIN($I436:$I439)</f>
        <v>46293</v>
      </c>
      <c r="J435" s="24">
        <f>MAX($J436:$J439)</f>
        <v>46294</v>
      </c>
    </row>
    <row r="436" spans="1:10" x14ac:dyDescent="0.25">
      <c r="A436" s="25" t="s">
        <v>11</v>
      </c>
      <c r="B436" s="25" t="s">
        <v>49</v>
      </c>
      <c r="C436" s="25" t="s">
        <v>50</v>
      </c>
      <c r="D436" s="25" t="s">
        <v>51</v>
      </c>
      <c r="E436" s="26">
        <v>6</v>
      </c>
      <c r="F436" s="25" t="s">
        <v>52</v>
      </c>
      <c r="G436" s="27">
        <f>0</f>
        <v>0</v>
      </c>
      <c r="H436" s="27">
        <f>$G436+$E436</f>
        <v>6</v>
      </c>
      <c r="I436" s="28">
        <f>WORKDAY(Settings!$D$12,INT($G436/HoursPerDay)+1,Holidays)</f>
        <v>46293</v>
      </c>
      <c r="J436" s="28">
        <f>IF($E436=0,$I436,WORKDAY(Settings!$D$12,ROUNDUP($H436/HoursPerDay,0),Holidays))</f>
        <v>46293</v>
      </c>
    </row>
    <row r="437" spans="1:10" x14ac:dyDescent="0.25">
      <c r="A437" s="25" t="s">
        <v>11</v>
      </c>
      <c r="B437" s="25" t="s">
        <v>53</v>
      </c>
      <c r="C437" s="25" t="s">
        <v>54</v>
      </c>
      <c r="D437" s="25" t="s">
        <v>51</v>
      </c>
      <c r="E437" s="26">
        <v>4</v>
      </c>
      <c r="F437" s="25" t="s">
        <v>52</v>
      </c>
      <c r="G437" s="27">
        <f>$H$436</f>
        <v>6</v>
      </c>
      <c r="H437" s="27">
        <f>$G437+$E437</f>
        <v>10</v>
      </c>
      <c r="I437" s="28">
        <f>WORKDAY(Settings!$D$12,INT($G437/HoursPerDay)+1,Holidays)</f>
        <v>46293</v>
      </c>
      <c r="J437" s="28">
        <f>IF($E437=0,$I437,WORKDAY(Settings!$D$12,ROUNDUP($H437/HoursPerDay,0),Holidays))</f>
        <v>46294</v>
      </c>
    </row>
    <row r="438" spans="1:10" x14ac:dyDescent="0.25">
      <c r="A438" s="25" t="s">
        <v>11</v>
      </c>
      <c r="B438" s="25" t="s">
        <v>55</v>
      </c>
      <c r="C438" s="25" t="s">
        <v>56</v>
      </c>
      <c r="D438" s="25" t="s">
        <v>51</v>
      </c>
      <c r="E438" s="26">
        <v>4</v>
      </c>
      <c r="F438" s="25" t="s">
        <v>78</v>
      </c>
      <c r="G438" s="27">
        <f>0</f>
        <v>0</v>
      </c>
      <c r="H438" s="27">
        <f>$G438+$E438</f>
        <v>4</v>
      </c>
      <c r="I438" s="28">
        <f>WORKDAY(Settings!$D$12,INT($G438/HoursPerDay)+1,Holidays)</f>
        <v>46293</v>
      </c>
      <c r="J438" s="28">
        <f>IF($E438=0,$I438,WORKDAY(Settings!$D$12,ROUNDUP($H438/HoursPerDay,0),Holidays))</f>
        <v>46293</v>
      </c>
    </row>
    <row r="439" spans="1:10" x14ac:dyDescent="0.25">
      <c r="A439" s="25" t="s">
        <v>11</v>
      </c>
      <c r="B439" s="25" t="s">
        <v>58</v>
      </c>
      <c r="C439" s="25" t="s">
        <v>59</v>
      </c>
      <c r="D439" s="25" t="s">
        <v>51</v>
      </c>
      <c r="E439" s="26">
        <v>4</v>
      </c>
      <c r="F439" s="25" t="s">
        <v>60</v>
      </c>
      <c r="G439" s="27">
        <f>0</f>
        <v>0</v>
      </c>
      <c r="H439" s="27">
        <f>$G439+$E439</f>
        <v>4</v>
      </c>
      <c r="I439" s="28">
        <f>WORKDAY(Settings!$D$12,INT($G439/HoursPerDay)+1,Holidays)</f>
        <v>46293</v>
      </c>
      <c r="J439" s="28">
        <f>IF($E439=0,$I439,WORKDAY(Settings!$D$12,ROUNDUP($H439/HoursPerDay,0),Holidays))</f>
        <v>46293</v>
      </c>
    </row>
    <row r="440" spans="1:10" x14ac:dyDescent="0.25">
      <c r="A440" s="22" t="s">
        <v>11</v>
      </c>
      <c r="B440" s="22" t="s">
        <v>67</v>
      </c>
      <c r="C440" s="22" t="s">
        <v>435</v>
      </c>
      <c r="D440" s="22" t="s">
        <v>48</v>
      </c>
      <c r="E440" s="23">
        <f>SUMIF($D441:$D443,"Task",$E441:$E443)</f>
        <v>24</v>
      </c>
      <c r="F440" s="22"/>
      <c r="G440" s="23"/>
      <c r="H440" s="23"/>
      <c r="I440" s="24">
        <f>MIN($I441:$I443)</f>
        <v>46293</v>
      </c>
      <c r="J440" s="24">
        <f>MAX($J441:$J443)</f>
        <v>46294</v>
      </c>
    </row>
    <row r="441" spans="1:10" x14ac:dyDescent="0.25">
      <c r="A441" s="25" t="s">
        <v>11</v>
      </c>
      <c r="B441" s="25" t="s">
        <v>70</v>
      </c>
      <c r="C441" s="25" t="s">
        <v>54</v>
      </c>
      <c r="D441" s="25" t="s">
        <v>51</v>
      </c>
      <c r="E441" s="26">
        <v>4</v>
      </c>
      <c r="F441" s="25" t="s">
        <v>52</v>
      </c>
      <c r="G441" s="27">
        <f>$H$437</f>
        <v>10</v>
      </c>
      <c r="H441" s="27">
        <f>$G441+$E441</f>
        <v>14</v>
      </c>
      <c r="I441" s="28">
        <f>WORKDAY(Settings!$D$12,INT($G441/HoursPerDay)+1,Holidays)</f>
        <v>46294</v>
      </c>
      <c r="J441" s="28">
        <f>IF($E441=0,$I441,WORKDAY(Settings!$D$12,ROUNDUP($H441/HoursPerDay,0),Holidays))</f>
        <v>46294</v>
      </c>
    </row>
    <row r="442" spans="1:10" x14ac:dyDescent="0.25">
      <c r="A442" s="25" t="s">
        <v>11</v>
      </c>
      <c r="B442" s="25" t="s">
        <v>71</v>
      </c>
      <c r="C442" s="25" t="s">
        <v>56</v>
      </c>
      <c r="D442" s="25" t="s">
        <v>51</v>
      </c>
      <c r="E442" s="26">
        <v>10</v>
      </c>
      <c r="F442" s="25" t="s">
        <v>78</v>
      </c>
      <c r="G442" s="27">
        <f>$H$438</f>
        <v>4</v>
      </c>
      <c r="H442" s="27">
        <f>$G442+$E442</f>
        <v>14</v>
      </c>
      <c r="I442" s="28">
        <f>WORKDAY(Settings!$D$12,INT($G442/HoursPerDay)+1,Holidays)</f>
        <v>46293</v>
      </c>
      <c r="J442" s="28">
        <f>IF($E442=0,$I442,WORKDAY(Settings!$D$12,ROUNDUP($H442/HoursPerDay,0),Holidays))</f>
        <v>46294</v>
      </c>
    </row>
    <row r="443" spans="1:10" x14ac:dyDescent="0.25">
      <c r="A443" s="25" t="s">
        <v>11</v>
      </c>
      <c r="B443" s="25" t="s">
        <v>72</v>
      </c>
      <c r="C443" s="25" t="s">
        <v>59</v>
      </c>
      <c r="D443" s="25" t="s">
        <v>51</v>
      </c>
      <c r="E443" s="26">
        <v>10</v>
      </c>
      <c r="F443" s="25" t="s">
        <v>60</v>
      </c>
      <c r="G443" s="27">
        <f>$H$439</f>
        <v>4</v>
      </c>
      <c r="H443" s="27">
        <f>$G443+$E443</f>
        <v>14</v>
      </c>
      <c r="I443" s="28">
        <f>WORKDAY(Settings!$D$12,INT($G443/HoursPerDay)+1,Holidays)</f>
        <v>46293</v>
      </c>
      <c r="J443" s="28">
        <f>IF($E443=0,$I443,WORKDAY(Settings!$D$12,ROUNDUP($H443/HoursPerDay,0),Holidays))</f>
        <v>46294</v>
      </c>
    </row>
    <row r="444" spans="1:10" x14ac:dyDescent="0.25">
      <c r="A444" s="22" t="s">
        <v>11</v>
      </c>
      <c r="B444" s="22" t="s">
        <v>330</v>
      </c>
      <c r="C444" s="22" t="s">
        <v>436</v>
      </c>
      <c r="D444" s="22" t="s">
        <v>48</v>
      </c>
      <c r="E444" s="23">
        <f>SUMIF($D445:$D447,"Task",$E445:$E447)</f>
        <v>11</v>
      </c>
      <c r="F444" s="22"/>
      <c r="G444" s="23"/>
      <c r="H444" s="23"/>
      <c r="I444" s="24">
        <f>MIN($I445:$I447)</f>
        <v>46295</v>
      </c>
      <c r="J444" s="24">
        <f>MAX($J445:$J447)</f>
        <v>46295</v>
      </c>
    </row>
    <row r="445" spans="1:10" x14ac:dyDescent="0.25">
      <c r="A445" s="25" t="s">
        <v>11</v>
      </c>
      <c r="B445" s="25" t="s">
        <v>333</v>
      </c>
      <c r="C445" s="25" t="s">
        <v>54</v>
      </c>
      <c r="D445" s="25" t="s">
        <v>51</v>
      </c>
      <c r="E445" s="26">
        <v>4</v>
      </c>
      <c r="F445" s="25" t="s">
        <v>52</v>
      </c>
      <c r="G445" s="27">
        <f>$H$441</f>
        <v>14</v>
      </c>
      <c r="H445" s="27">
        <f>$G445+$E445</f>
        <v>18</v>
      </c>
      <c r="I445" s="28">
        <f>WORKDAY(Settings!$D$12,INT($G445/HoursPerDay)+1,Holidays)</f>
        <v>46295</v>
      </c>
      <c r="J445" s="28">
        <f>IF($E445=0,$I445,WORKDAY(Settings!$D$12,ROUNDUP($H445/HoursPerDay,0),Holidays))</f>
        <v>46295</v>
      </c>
    </row>
    <row r="446" spans="1:10" x14ac:dyDescent="0.25">
      <c r="A446" s="25" t="s">
        <v>11</v>
      </c>
      <c r="B446" s="25" t="s">
        <v>334</v>
      </c>
      <c r="C446" s="25" t="s">
        <v>56</v>
      </c>
      <c r="D446" s="25" t="s">
        <v>51</v>
      </c>
      <c r="E446" s="26">
        <v>4</v>
      </c>
      <c r="F446" s="25" t="s">
        <v>78</v>
      </c>
      <c r="G446" s="27">
        <f>$H$442</f>
        <v>14</v>
      </c>
      <c r="H446" s="27">
        <f>$G446+$E446</f>
        <v>18</v>
      </c>
      <c r="I446" s="28">
        <f>WORKDAY(Settings!$D$12,INT($G446/HoursPerDay)+1,Holidays)</f>
        <v>46295</v>
      </c>
      <c r="J446" s="28">
        <f>IF($E446=0,$I446,WORKDAY(Settings!$D$12,ROUNDUP($H446/HoursPerDay,0),Holidays))</f>
        <v>46295</v>
      </c>
    </row>
    <row r="447" spans="1:10" x14ac:dyDescent="0.25">
      <c r="A447" s="25" t="s">
        <v>11</v>
      </c>
      <c r="B447" s="25" t="s">
        <v>437</v>
      </c>
      <c r="C447" s="25" t="s">
        <v>59</v>
      </c>
      <c r="D447" s="25" t="s">
        <v>51</v>
      </c>
      <c r="E447" s="26">
        <v>3</v>
      </c>
      <c r="F447" s="25" t="s">
        <v>60</v>
      </c>
      <c r="G447" s="27">
        <f>$H$443</f>
        <v>14</v>
      </c>
      <c r="H447" s="27">
        <f>$G447+$E447</f>
        <v>17</v>
      </c>
      <c r="I447" s="28">
        <f>WORKDAY(Settings!$D$12,INT($G447/HoursPerDay)+1,Holidays)</f>
        <v>46295</v>
      </c>
      <c r="J447" s="28">
        <f>IF($E447=0,$I447,WORKDAY(Settings!$D$12,ROUNDUP($H447/HoursPerDay,0),Holidays))</f>
        <v>46295</v>
      </c>
    </row>
    <row r="448" spans="1:10" x14ac:dyDescent="0.25">
      <c r="A448" s="22" t="s">
        <v>11</v>
      </c>
      <c r="B448" s="22" t="s">
        <v>438</v>
      </c>
      <c r="C448" s="22" t="s">
        <v>439</v>
      </c>
      <c r="D448" s="22" t="s">
        <v>48</v>
      </c>
      <c r="E448" s="23">
        <f>SUMIF($D449:$D451,"Task",$E449:$E451)</f>
        <v>6</v>
      </c>
      <c r="F448" s="22"/>
      <c r="G448" s="23"/>
      <c r="H448" s="23"/>
      <c r="I448" s="24">
        <f>MIN($I449:$I451)</f>
        <v>46295</v>
      </c>
      <c r="J448" s="24">
        <f>MAX($J449:$J451)</f>
        <v>46295</v>
      </c>
    </row>
    <row r="449" spans="1:10" x14ac:dyDescent="0.25">
      <c r="A449" s="25" t="s">
        <v>11</v>
      </c>
      <c r="B449" s="25" t="s">
        <v>440</v>
      </c>
      <c r="C449" s="25" t="s">
        <v>54</v>
      </c>
      <c r="D449" s="25" t="s">
        <v>51</v>
      </c>
      <c r="E449" s="26">
        <v>2</v>
      </c>
      <c r="F449" s="25" t="s">
        <v>52</v>
      </c>
      <c r="G449" s="27">
        <f>$H$445</f>
        <v>18</v>
      </c>
      <c r="H449" s="27">
        <f>$G449+$E449</f>
        <v>20</v>
      </c>
      <c r="I449" s="28">
        <f>WORKDAY(Settings!$D$12,INT($G449/HoursPerDay)+1,Holidays)</f>
        <v>46295</v>
      </c>
      <c r="J449" s="28">
        <f>IF($E449=0,$I449,WORKDAY(Settings!$D$12,ROUNDUP($H449/HoursPerDay,0),Holidays))</f>
        <v>46295</v>
      </c>
    </row>
    <row r="450" spans="1:10" x14ac:dyDescent="0.25">
      <c r="A450" s="25" t="s">
        <v>11</v>
      </c>
      <c r="B450" s="25" t="s">
        <v>441</v>
      </c>
      <c r="C450" s="25" t="s">
        <v>56</v>
      </c>
      <c r="D450" s="25" t="s">
        <v>51</v>
      </c>
      <c r="E450" s="26">
        <v>2</v>
      </c>
      <c r="F450" s="25" t="s">
        <v>78</v>
      </c>
      <c r="G450" s="27">
        <f>$H$446</f>
        <v>18</v>
      </c>
      <c r="H450" s="27">
        <f>$G450+$E450</f>
        <v>20</v>
      </c>
      <c r="I450" s="28">
        <f>WORKDAY(Settings!$D$12,INT($G450/HoursPerDay)+1,Holidays)</f>
        <v>46295</v>
      </c>
      <c r="J450" s="28">
        <f>IF($E450=0,$I450,WORKDAY(Settings!$D$12,ROUNDUP($H450/HoursPerDay,0),Holidays))</f>
        <v>46295</v>
      </c>
    </row>
    <row r="451" spans="1:10" x14ac:dyDescent="0.25">
      <c r="A451" s="25" t="s">
        <v>11</v>
      </c>
      <c r="B451" s="25" t="s">
        <v>442</v>
      </c>
      <c r="C451" s="25" t="s">
        <v>59</v>
      </c>
      <c r="D451" s="25" t="s">
        <v>51</v>
      </c>
      <c r="E451" s="26">
        <v>2</v>
      </c>
      <c r="F451" s="25" t="s">
        <v>60</v>
      </c>
      <c r="G451" s="27">
        <f>$H$447</f>
        <v>17</v>
      </c>
      <c r="H451" s="27">
        <f>$G451+$E451</f>
        <v>19</v>
      </c>
      <c r="I451" s="28">
        <f>WORKDAY(Settings!$D$12,INT($G451/HoursPerDay)+1,Holidays)</f>
        <v>46295</v>
      </c>
      <c r="J451" s="28">
        <f>IF($E451=0,$I451,WORKDAY(Settings!$D$12,ROUNDUP($H451/HoursPerDay,0),Holidays))</f>
        <v>46295</v>
      </c>
    </row>
    <row r="452" spans="1:10" x14ac:dyDescent="0.25">
      <c r="A452" s="22" t="s">
        <v>11</v>
      </c>
      <c r="B452" s="22" t="s">
        <v>443</v>
      </c>
      <c r="C452" s="22" t="s">
        <v>444</v>
      </c>
      <c r="D452" s="22" t="s">
        <v>48</v>
      </c>
      <c r="E452" s="23">
        <f>SUMIF($D453:$D455,"Task",$E453:$E455)</f>
        <v>18</v>
      </c>
      <c r="F452" s="22"/>
      <c r="G452" s="23"/>
      <c r="H452" s="23"/>
      <c r="I452" s="24">
        <f>MIN($I453:$I455)</f>
        <v>46295</v>
      </c>
      <c r="J452" s="24">
        <f>MAX($J453:$J455)</f>
        <v>46296</v>
      </c>
    </row>
    <row r="453" spans="1:10" x14ac:dyDescent="0.25">
      <c r="A453" s="25" t="s">
        <v>11</v>
      </c>
      <c r="B453" s="25" t="s">
        <v>445</v>
      </c>
      <c r="C453" s="25" t="s">
        <v>54</v>
      </c>
      <c r="D453" s="25" t="s">
        <v>51</v>
      </c>
      <c r="E453" s="26">
        <v>6</v>
      </c>
      <c r="F453" s="25" t="s">
        <v>52</v>
      </c>
      <c r="G453" s="27">
        <f>$H$449</f>
        <v>20</v>
      </c>
      <c r="H453" s="27">
        <f>$G453+$E453</f>
        <v>26</v>
      </c>
      <c r="I453" s="28">
        <f>WORKDAY(Settings!$D$12,INT($G453/HoursPerDay)+1,Holidays)</f>
        <v>46295</v>
      </c>
      <c r="J453" s="28">
        <f>IF($E453=0,$I453,WORKDAY(Settings!$D$12,ROUNDUP($H453/HoursPerDay,0),Holidays))</f>
        <v>46296</v>
      </c>
    </row>
    <row r="454" spans="1:10" x14ac:dyDescent="0.25">
      <c r="A454" s="25" t="s">
        <v>11</v>
      </c>
      <c r="B454" s="25" t="s">
        <v>446</v>
      </c>
      <c r="C454" s="25" t="s">
        <v>56</v>
      </c>
      <c r="D454" s="25" t="s">
        <v>51</v>
      </c>
      <c r="E454" s="26">
        <v>6</v>
      </c>
      <c r="F454" s="25" t="s">
        <v>78</v>
      </c>
      <c r="G454" s="27">
        <f>$H$450</f>
        <v>20</v>
      </c>
      <c r="H454" s="27">
        <f>$G454+$E454</f>
        <v>26</v>
      </c>
      <c r="I454" s="28">
        <f>WORKDAY(Settings!$D$12,INT($G454/HoursPerDay)+1,Holidays)</f>
        <v>46295</v>
      </c>
      <c r="J454" s="28">
        <f>IF($E454=0,$I454,WORKDAY(Settings!$D$12,ROUNDUP($H454/HoursPerDay,0),Holidays))</f>
        <v>46296</v>
      </c>
    </row>
    <row r="455" spans="1:10" x14ac:dyDescent="0.25">
      <c r="A455" s="25" t="s">
        <v>11</v>
      </c>
      <c r="B455" s="25" t="s">
        <v>447</v>
      </c>
      <c r="C455" s="25" t="s">
        <v>59</v>
      </c>
      <c r="D455" s="25" t="s">
        <v>51</v>
      </c>
      <c r="E455" s="26">
        <v>6</v>
      </c>
      <c r="F455" s="25" t="s">
        <v>60</v>
      </c>
      <c r="G455" s="27">
        <f>$H$451</f>
        <v>19</v>
      </c>
      <c r="H455" s="27">
        <f>$G455+$E455</f>
        <v>25</v>
      </c>
      <c r="I455" s="28">
        <f>WORKDAY(Settings!$D$12,INT($G455/HoursPerDay)+1,Holidays)</f>
        <v>46295</v>
      </c>
      <c r="J455" s="28">
        <f>IF($E455=0,$I455,WORKDAY(Settings!$D$12,ROUNDUP($H455/HoursPerDay,0),Holidays))</f>
        <v>46296</v>
      </c>
    </row>
    <row r="456" spans="1:10" x14ac:dyDescent="0.25">
      <c r="A456" s="22" t="s">
        <v>11</v>
      </c>
      <c r="B456" s="22" t="s">
        <v>448</v>
      </c>
      <c r="C456" s="22" t="s">
        <v>449</v>
      </c>
      <c r="D456" s="22" t="s">
        <v>48</v>
      </c>
      <c r="E456" s="23">
        <f>SUMIF($D457:$D459,"Task",$E457:$E459)</f>
        <v>7</v>
      </c>
      <c r="F456" s="22"/>
      <c r="G456" s="23"/>
      <c r="H456" s="23"/>
      <c r="I456" s="24">
        <f>MIN($I457:$I459)</f>
        <v>46296</v>
      </c>
      <c r="J456" s="24">
        <f>MAX($J457:$J459)</f>
        <v>46296</v>
      </c>
    </row>
    <row r="457" spans="1:10" x14ac:dyDescent="0.25">
      <c r="A457" s="25" t="s">
        <v>11</v>
      </c>
      <c r="B457" s="25" t="s">
        <v>450</v>
      </c>
      <c r="C457" s="25" t="s">
        <v>54</v>
      </c>
      <c r="D457" s="25" t="s">
        <v>51</v>
      </c>
      <c r="E457" s="26">
        <v>2</v>
      </c>
      <c r="F457" s="25" t="s">
        <v>52</v>
      </c>
      <c r="G457" s="27">
        <f>$H$453</f>
        <v>26</v>
      </c>
      <c r="H457" s="27">
        <f>$G457+$E457</f>
        <v>28</v>
      </c>
      <c r="I457" s="28">
        <f>WORKDAY(Settings!$D$12,INT($G457/HoursPerDay)+1,Holidays)</f>
        <v>46296</v>
      </c>
      <c r="J457" s="28">
        <f>IF($E457=0,$I457,WORKDAY(Settings!$D$12,ROUNDUP($H457/HoursPerDay,0),Holidays))</f>
        <v>46296</v>
      </c>
    </row>
    <row r="458" spans="1:10" x14ac:dyDescent="0.25">
      <c r="A458" s="25" t="s">
        <v>11</v>
      </c>
      <c r="B458" s="25" t="s">
        <v>451</v>
      </c>
      <c r="C458" s="25" t="s">
        <v>56</v>
      </c>
      <c r="D458" s="25" t="s">
        <v>51</v>
      </c>
      <c r="E458" s="26">
        <v>2</v>
      </c>
      <c r="F458" s="25" t="s">
        <v>78</v>
      </c>
      <c r="G458" s="27">
        <f>$H$454</f>
        <v>26</v>
      </c>
      <c r="H458" s="27">
        <f>$G458+$E458</f>
        <v>28</v>
      </c>
      <c r="I458" s="28">
        <f>WORKDAY(Settings!$D$12,INT($G458/HoursPerDay)+1,Holidays)</f>
        <v>46296</v>
      </c>
      <c r="J458" s="28">
        <f>IF($E458=0,$I458,WORKDAY(Settings!$D$12,ROUNDUP($H458/HoursPerDay,0),Holidays))</f>
        <v>46296</v>
      </c>
    </row>
    <row r="459" spans="1:10" x14ac:dyDescent="0.25">
      <c r="A459" s="25" t="s">
        <v>11</v>
      </c>
      <c r="B459" s="25" t="s">
        <v>452</v>
      </c>
      <c r="C459" s="25" t="s">
        <v>59</v>
      </c>
      <c r="D459" s="25" t="s">
        <v>51</v>
      </c>
      <c r="E459" s="26">
        <v>3</v>
      </c>
      <c r="F459" s="25" t="s">
        <v>60</v>
      </c>
      <c r="G459" s="27">
        <f>$H$455</f>
        <v>25</v>
      </c>
      <c r="H459" s="27">
        <f>$G459+$E459</f>
        <v>28</v>
      </c>
      <c r="I459" s="28">
        <f>WORKDAY(Settings!$D$12,INT($G459/HoursPerDay)+1,Holidays)</f>
        <v>46296</v>
      </c>
      <c r="J459" s="28">
        <f>IF($E459=0,$I459,WORKDAY(Settings!$D$12,ROUNDUP($H459/HoursPerDay,0),Holidays))</f>
        <v>46296</v>
      </c>
    </row>
    <row r="460" spans="1:10" x14ac:dyDescent="0.25">
      <c r="A460" s="19" t="s">
        <v>11</v>
      </c>
      <c r="B460" s="19" t="s">
        <v>73</v>
      </c>
      <c r="C460" s="19" t="s">
        <v>453</v>
      </c>
      <c r="D460" s="19" t="s">
        <v>45</v>
      </c>
      <c r="E460" s="20">
        <f>SUMIF($D461:$D481,"Task",$E461:$E481)</f>
        <v>50</v>
      </c>
      <c r="F460" s="19"/>
      <c r="G460" s="20"/>
      <c r="H460" s="20"/>
      <c r="I460" s="21">
        <f>MIN($I461:$I481)</f>
        <v>46293</v>
      </c>
      <c r="J460" s="21">
        <f>MAX($J461:$J481)</f>
        <v>46302</v>
      </c>
    </row>
    <row r="461" spans="1:10" x14ac:dyDescent="0.25">
      <c r="A461" s="22" t="s">
        <v>11</v>
      </c>
      <c r="B461" s="22" t="s">
        <v>75</v>
      </c>
      <c r="C461" s="22" t="s">
        <v>454</v>
      </c>
      <c r="D461" s="22" t="s">
        <v>48</v>
      </c>
      <c r="E461" s="23">
        <f>SUMIF($D462:$D465,"Task",$E462:$E465)</f>
        <v>16</v>
      </c>
      <c r="F461" s="22"/>
      <c r="G461" s="23"/>
      <c r="H461" s="23"/>
      <c r="I461" s="24">
        <f>MIN($I462:$I465)</f>
        <v>46293</v>
      </c>
      <c r="J461" s="24">
        <f>MAX($J462:$J465)</f>
        <v>46301</v>
      </c>
    </row>
    <row r="462" spans="1:10" x14ac:dyDescent="0.25">
      <c r="A462" s="25" t="s">
        <v>11</v>
      </c>
      <c r="B462" s="25" t="s">
        <v>77</v>
      </c>
      <c r="C462" s="25" t="s">
        <v>50</v>
      </c>
      <c r="D462" s="25" t="s">
        <v>51</v>
      </c>
      <c r="E462" s="26">
        <v>4</v>
      </c>
      <c r="F462" s="25" t="s">
        <v>78</v>
      </c>
      <c r="G462" s="27">
        <f>$H$458</f>
        <v>28</v>
      </c>
      <c r="H462" s="27">
        <f>$G462+$E462</f>
        <v>32</v>
      </c>
      <c r="I462" s="28">
        <f>WORKDAY(Settings!$D$12,INT($G462/HoursPerDay)+1,Holidays)</f>
        <v>46300</v>
      </c>
      <c r="J462" s="28">
        <f>IF($E462=0,$I462,WORKDAY(Settings!$D$12,ROUNDUP($H462/HoursPerDay,0),Holidays))</f>
        <v>46300</v>
      </c>
    </row>
    <row r="463" spans="1:10" x14ac:dyDescent="0.25">
      <c r="A463" s="25" t="s">
        <v>11</v>
      </c>
      <c r="B463" s="25" t="s">
        <v>79</v>
      </c>
      <c r="C463" s="25" t="s">
        <v>54</v>
      </c>
      <c r="D463" s="25" t="s">
        <v>51</v>
      </c>
      <c r="E463" s="26">
        <v>4</v>
      </c>
      <c r="F463" s="25" t="s">
        <v>78</v>
      </c>
      <c r="G463" s="27">
        <f>$H$462</f>
        <v>32</v>
      </c>
      <c r="H463" s="27">
        <f>$G463+$E463</f>
        <v>36</v>
      </c>
      <c r="I463" s="28">
        <f>WORKDAY(Settings!$D$12,INT($G463/HoursPerDay)+1,Holidays)</f>
        <v>46300</v>
      </c>
      <c r="J463" s="28">
        <f>IF($E463=0,$I463,WORKDAY(Settings!$D$12,ROUNDUP($H463/HoursPerDay,0),Holidays))</f>
        <v>46301</v>
      </c>
    </row>
    <row r="464" spans="1:10" x14ac:dyDescent="0.25">
      <c r="A464" s="25" t="s">
        <v>11</v>
      </c>
      <c r="B464" s="25" t="s">
        <v>80</v>
      </c>
      <c r="C464" s="25" t="s">
        <v>56</v>
      </c>
      <c r="D464" s="25" t="s">
        <v>51</v>
      </c>
      <c r="E464" s="26">
        <v>4</v>
      </c>
      <c r="F464" s="25" t="s">
        <v>57</v>
      </c>
      <c r="G464" s="27">
        <f>0</f>
        <v>0</v>
      </c>
      <c r="H464" s="27">
        <f>$G464+$E464</f>
        <v>4</v>
      </c>
      <c r="I464" s="28">
        <f>WORKDAY(Settings!$D$12,INT($G464/HoursPerDay)+1,Holidays)</f>
        <v>46293</v>
      </c>
      <c r="J464" s="28">
        <f>IF($E464=0,$I464,WORKDAY(Settings!$D$12,ROUNDUP($H464/HoursPerDay,0),Holidays))</f>
        <v>46293</v>
      </c>
    </row>
    <row r="465" spans="1:10" x14ac:dyDescent="0.25">
      <c r="A465" s="25" t="s">
        <v>11</v>
      </c>
      <c r="B465" s="25" t="s">
        <v>81</v>
      </c>
      <c r="C465" s="25" t="s">
        <v>59</v>
      </c>
      <c r="D465" s="25" t="s">
        <v>51</v>
      </c>
      <c r="E465" s="26">
        <v>4</v>
      </c>
      <c r="F465" s="25" t="s">
        <v>60</v>
      </c>
      <c r="G465" s="27">
        <f>$H$459</f>
        <v>28</v>
      </c>
      <c r="H465" s="27">
        <f>$G465+$E465</f>
        <v>32</v>
      </c>
      <c r="I465" s="28">
        <f>WORKDAY(Settings!$D$12,INT($G465/HoursPerDay)+1,Holidays)</f>
        <v>46300</v>
      </c>
      <c r="J465" s="28">
        <f>IF($E465=0,$I465,WORKDAY(Settings!$D$12,ROUNDUP($H465/HoursPerDay,0),Holidays))</f>
        <v>46300</v>
      </c>
    </row>
    <row r="466" spans="1:10" x14ac:dyDescent="0.25">
      <c r="A466" s="22" t="s">
        <v>11</v>
      </c>
      <c r="B466" s="22" t="s">
        <v>82</v>
      </c>
      <c r="C466" s="22" t="s">
        <v>455</v>
      </c>
      <c r="D466" s="22" t="s">
        <v>48</v>
      </c>
      <c r="E466" s="23">
        <f>SUMIF($D467:$D469,"Task",$E467:$E469)</f>
        <v>6</v>
      </c>
      <c r="F466" s="22"/>
      <c r="G466" s="23"/>
      <c r="H466" s="23"/>
      <c r="I466" s="24">
        <f>MIN($I467:$I469)</f>
        <v>46293</v>
      </c>
      <c r="J466" s="24">
        <f>MAX($J467:$J469)</f>
        <v>46301</v>
      </c>
    </row>
    <row r="467" spans="1:10" x14ac:dyDescent="0.25">
      <c r="A467" s="25" t="s">
        <v>11</v>
      </c>
      <c r="B467" s="25" t="s">
        <v>85</v>
      </c>
      <c r="C467" s="25" t="s">
        <v>54</v>
      </c>
      <c r="D467" s="25" t="s">
        <v>51</v>
      </c>
      <c r="E467" s="26">
        <v>2</v>
      </c>
      <c r="F467" s="25" t="s">
        <v>78</v>
      </c>
      <c r="G467" s="27">
        <f>$H$463</f>
        <v>36</v>
      </c>
      <c r="H467" s="27">
        <f>$G467+$E467</f>
        <v>38</v>
      </c>
      <c r="I467" s="28">
        <f>WORKDAY(Settings!$D$12,INT($G467/HoursPerDay)+1,Holidays)</f>
        <v>46301</v>
      </c>
      <c r="J467" s="28">
        <f>IF($E467=0,$I467,WORKDAY(Settings!$D$12,ROUNDUP($H467/HoursPerDay,0),Holidays))</f>
        <v>46301</v>
      </c>
    </row>
    <row r="468" spans="1:10" x14ac:dyDescent="0.25">
      <c r="A468" s="25" t="s">
        <v>11</v>
      </c>
      <c r="B468" s="25" t="s">
        <v>86</v>
      </c>
      <c r="C468" s="25" t="s">
        <v>56</v>
      </c>
      <c r="D468" s="25" t="s">
        <v>51</v>
      </c>
      <c r="E468" s="26">
        <v>2</v>
      </c>
      <c r="F468" s="25" t="s">
        <v>57</v>
      </c>
      <c r="G468" s="27">
        <f>$H$464</f>
        <v>4</v>
      </c>
      <c r="H468" s="27">
        <f>$G468+$E468</f>
        <v>6</v>
      </c>
      <c r="I468" s="28">
        <f>WORKDAY(Settings!$D$12,INT($G468/HoursPerDay)+1,Holidays)</f>
        <v>46293</v>
      </c>
      <c r="J468" s="28">
        <f>IF($E468=0,$I468,WORKDAY(Settings!$D$12,ROUNDUP($H468/HoursPerDay,0),Holidays))</f>
        <v>46293</v>
      </c>
    </row>
    <row r="469" spans="1:10" x14ac:dyDescent="0.25">
      <c r="A469" s="25" t="s">
        <v>11</v>
      </c>
      <c r="B469" s="25" t="s">
        <v>87</v>
      </c>
      <c r="C469" s="25" t="s">
        <v>59</v>
      </c>
      <c r="D469" s="25" t="s">
        <v>51</v>
      </c>
      <c r="E469" s="26">
        <v>2</v>
      </c>
      <c r="F469" s="25" t="s">
        <v>60</v>
      </c>
      <c r="G469" s="27">
        <f>$H$465</f>
        <v>32</v>
      </c>
      <c r="H469" s="27">
        <f>$G469+$E469</f>
        <v>34</v>
      </c>
      <c r="I469" s="28">
        <f>WORKDAY(Settings!$D$12,INT($G469/HoursPerDay)+1,Holidays)</f>
        <v>46300</v>
      </c>
      <c r="J469" s="28">
        <f>IF($E469=0,$I469,WORKDAY(Settings!$D$12,ROUNDUP($H469/HoursPerDay,0),Holidays))</f>
        <v>46300</v>
      </c>
    </row>
    <row r="470" spans="1:10" x14ac:dyDescent="0.25">
      <c r="A470" s="22" t="s">
        <v>11</v>
      </c>
      <c r="B470" s="22" t="s">
        <v>88</v>
      </c>
      <c r="C470" s="22" t="s">
        <v>456</v>
      </c>
      <c r="D470" s="22" t="s">
        <v>48</v>
      </c>
      <c r="E470" s="23">
        <f>SUMIF($D471:$D473,"Task",$E471:$E473)</f>
        <v>16</v>
      </c>
      <c r="F470" s="22"/>
      <c r="G470" s="23"/>
      <c r="H470" s="23"/>
      <c r="I470" s="24">
        <f>MIN($I471:$I473)</f>
        <v>46293</v>
      </c>
      <c r="J470" s="24">
        <f>MAX($J471:$J473)</f>
        <v>46301</v>
      </c>
    </row>
    <row r="471" spans="1:10" x14ac:dyDescent="0.25">
      <c r="A471" s="25" t="s">
        <v>11</v>
      </c>
      <c r="B471" s="25" t="s">
        <v>91</v>
      </c>
      <c r="C471" s="25" t="s">
        <v>54</v>
      </c>
      <c r="D471" s="25" t="s">
        <v>51</v>
      </c>
      <c r="E471" s="26">
        <v>4</v>
      </c>
      <c r="F471" s="25" t="s">
        <v>78</v>
      </c>
      <c r="G471" s="27">
        <f>$H$467</f>
        <v>38</v>
      </c>
      <c r="H471" s="27">
        <f>$G471+$E471</f>
        <v>42</v>
      </c>
      <c r="I471" s="28">
        <f>WORKDAY(Settings!$D$12,INT($G471/HoursPerDay)+1,Holidays)</f>
        <v>46301</v>
      </c>
      <c r="J471" s="28">
        <f>IF($E471=0,$I471,WORKDAY(Settings!$D$12,ROUNDUP($H471/HoursPerDay,0),Holidays))</f>
        <v>46301</v>
      </c>
    </row>
    <row r="472" spans="1:10" x14ac:dyDescent="0.25">
      <c r="A472" s="25" t="s">
        <v>11</v>
      </c>
      <c r="B472" s="25" t="s">
        <v>92</v>
      </c>
      <c r="C472" s="25" t="s">
        <v>56</v>
      </c>
      <c r="D472" s="25" t="s">
        <v>51</v>
      </c>
      <c r="E472" s="26">
        <v>6</v>
      </c>
      <c r="F472" s="25" t="s">
        <v>57</v>
      </c>
      <c r="G472" s="27">
        <f>$H$468</f>
        <v>6</v>
      </c>
      <c r="H472" s="27">
        <f>$G472+$E472</f>
        <v>12</v>
      </c>
      <c r="I472" s="28">
        <f>WORKDAY(Settings!$D$12,INT($G472/HoursPerDay)+1,Holidays)</f>
        <v>46293</v>
      </c>
      <c r="J472" s="28">
        <f>IF($E472=0,$I472,WORKDAY(Settings!$D$12,ROUNDUP($H472/HoursPerDay,0),Holidays))</f>
        <v>46294</v>
      </c>
    </row>
    <row r="473" spans="1:10" x14ac:dyDescent="0.25">
      <c r="A473" s="25" t="s">
        <v>11</v>
      </c>
      <c r="B473" s="25" t="s">
        <v>457</v>
      </c>
      <c r="C473" s="25" t="s">
        <v>59</v>
      </c>
      <c r="D473" s="25" t="s">
        <v>51</v>
      </c>
      <c r="E473" s="26">
        <v>6</v>
      </c>
      <c r="F473" s="25" t="s">
        <v>60</v>
      </c>
      <c r="G473" s="27">
        <f>$H$469</f>
        <v>34</v>
      </c>
      <c r="H473" s="27">
        <f>$G473+$E473</f>
        <v>40</v>
      </c>
      <c r="I473" s="28">
        <f>WORKDAY(Settings!$D$12,INT($G473/HoursPerDay)+1,Holidays)</f>
        <v>46300</v>
      </c>
      <c r="J473" s="28">
        <f>IF($E473=0,$I473,WORKDAY(Settings!$D$12,ROUNDUP($H473/HoursPerDay,0),Holidays))</f>
        <v>46301</v>
      </c>
    </row>
    <row r="474" spans="1:10" x14ac:dyDescent="0.25">
      <c r="A474" s="22" t="s">
        <v>11</v>
      </c>
      <c r="B474" s="22" t="s">
        <v>99</v>
      </c>
      <c r="C474" s="22" t="s">
        <v>458</v>
      </c>
      <c r="D474" s="22" t="s">
        <v>48</v>
      </c>
      <c r="E474" s="23">
        <f>SUMIF($D475:$D477,"Task",$E475:$E477)</f>
        <v>6</v>
      </c>
      <c r="F474" s="22"/>
      <c r="G474" s="23"/>
      <c r="H474" s="23"/>
      <c r="I474" s="24">
        <f>MIN($I475:$I477)</f>
        <v>46294</v>
      </c>
      <c r="J474" s="24">
        <f>MAX($J475:$J477)</f>
        <v>46302</v>
      </c>
    </row>
    <row r="475" spans="1:10" x14ac:dyDescent="0.25">
      <c r="A475" s="25" t="s">
        <v>11</v>
      </c>
      <c r="B475" s="25" t="s">
        <v>102</v>
      </c>
      <c r="C475" s="25" t="s">
        <v>54</v>
      </c>
      <c r="D475" s="25" t="s">
        <v>51</v>
      </c>
      <c r="E475" s="26">
        <v>2</v>
      </c>
      <c r="F475" s="25" t="s">
        <v>78</v>
      </c>
      <c r="G475" s="27">
        <f>$H$471</f>
        <v>42</v>
      </c>
      <c r="H475" s="27">
        <f>$G475+$E475</f>
        <v>44</v>
      </c>
      <c r="I475" s="28">
        <f>WORKDAY(Settings!$D$12,INT($G475/HoursPerDay)+1,Holidays)</f>
        <v>46302</v>
      </c>
      <c r="J475" s="28">
        <f>IF($E475=0,$I475,WORKDAY(Settings!$D$12,ROUNDUP($H475/HoursPerDay,0),Holidays))</f>
        <v>46302</v>
      </c>
    </row>
    <row r="476" spans="1:10" x14ac:dyDescent="0.25">
      <c r="A476" s="25" t="s">
        <v>11</v>
      </c>
      <c r="B476" s="25" t="s">
        <v>103</v>
      </c>
      <c r="C476" s="25" t="s">
        <v>56</v>
      </c>
      <c r="D476" s="25" t="s">
        <v>51</v>
      </c>
      <c r="E476" s="26">
        <v>2</v>
      </c>
      <c r="F476" s="25" t="s">
        <v>57</v>
      </c>
      <c r="G476" s="27">
        <f>$H$472</f>
        <v>12</v>
      </c>
      <c r="H476" s="27">
        <f>$G476+$E476</f>
        <v>14</v>
      </c>
      <c r="I476" s="28">
        <f>WORKDAY(Settings!$D$12,INT($G476/HoursPerDay)+1,Holidays)</f>
        <v>46294</v>
      </c>
      <c r="J476" s="28">
        <f>IF($E476=0,$I476,WORKDAY(Settings!$D$12,ROUNDUP($H476/HoursPerDay,0),Holidays))</f>
        <v>46294</v>
      </c>
    </row>
    <row r="477" spans="1:10" x14ac:dyDescent="0.25">
      <c r="A477" s="25" t="s">
        <v>11</v>
      </c>
      <c r="B477" s="25" t="s">
        <v>104</v>
      </c>
      <c r="C477" s="25" t="s">
        <v>59</v>
      </c>
      <c r="D477" s="25" t="s">
        <v>51</v>
      </c>
      <c r="E477" s="26">
        <v>2</v>
      </c>
      <c r="F477" s="25" t="s">
        <v>60</v>
      </c>
      <c r="G477" s="27">
        <f>$H$473</f>
        <v>40</v>
      </c>
      <c r="H477" s="27">
        <f>$G477+$E477</f>
        <v>42</v>
      </c>
      <c r="I477" s="28">
        <f>WORKDAY(Settings!$D$12,INT($G477/HoursPerDay)+1,Holidays)</f>
        <v>46301</v>
      </c>
      <c r="J477" s="28">
        <f>IF($E477=0,$I477,WORKDAY(Settings!$D$12,ROUNDUP($H477/HoursPerDay,0),Holidays))</f>
        <v>46301</v>
      </c>
    </row>
    <row r="478" spans="1:10" x14ac:dyDescent="0.25">
      <c r="A478" s="22" t="s">
        <v>11</v>
      </c>
      <c r="B478" s="22" t="s">
        <v>105</v>
      </c>
      <c r="C478" s="22" t="s">
        <v>459</v>
      </c>
      <c r="D478" s="22" t="s">
        <v>48</v>
      </c>
      <c r="E478" s="23">
        <f>SUMIF($D479:$D481,"Task",$E479:$E481)</f>
        <v>6</v>
      </c>
      <c r="F478" s="22"/>
      <c r="G478" s="23"/>
      <c r="H478" s="23"/>
      <c r="I478" s="24">
        <f>MIN($I479:$I481)</f>
        <v>46295</v>
      </c>
      <c r="J478" s="24">
        <f>MAX($J479:$J481)</f>
        <v>46302</v>
      </c>
    </row>
    <row r="479" spans="1:10" x14ac:dyDescent="0.25">
      <c r="A479" s="25" t="s">
        <v>11</v>
      </c>
      <c r="B479" s="25" t="s">
        <v>108</v>
      </c>
      <c r="C479" s="25" t="s">
        <v>54</v>
      </c>
      <c r="D479" s="25" t="s">
        <v>51</v>
      </c>
      <c r="E479" s="26">
        <v>2</v>
      </c>
      <c r="F479" s="25" t="s">
        <v>78</v>
      </c>
      <c r="G479" s="27">
        <f>$H$475</f>
        <v>44</v>
      </c>
      <c r="H479" s="27">
        <f>$G479+$E479</f>
        <v>46</v>
      </c>
      <c r="I479" s="28">
        <f>WORKDAY(Settings!$D$12,INT($G479/HoursPerDay)+1,Holidays)</f>
        <v>46302</v>
      </c>
      <c r="J479" s="28">
        <f>IF($E479=0,$I479,WORKDAY(Settings!$D$12,ROUNDUP($H479/HoursPerDay,0),Holidays))</f>
        <v>46302</v>
      </c>
    </row>
    <row r="480" spans="1:10" x14ac:dyDescent="0.25">
      <c r="A480" s="25" t="s">
        <v>11</v>
      </c>
      <c r="B480" s="25" t="s">
        <v>109</v>
      </c>
      <c r="C480" s="25" t="s">
        <v>56</v>
      </c>
      <c r="D480" s="25" t="s">
        <v>51</v>
      </c>
      <c r="E480" s="26">
        <v>2</v>
      </c>
      <c r="F480" s="25" t="s">
        <v>57</v>
      </c>
      <c r="G480" s="27">
        <f>$H$476</f>
        <v>14</v>
      </c>
      <c r="H480" s="27">
        <f>$G480+$E480</f>
        <v>16</v>
      </c>
      <c r="I480" s="28">
        <f>WORKDAY(Settings!$D$12,INT($G480/HoursPerDay)+1,Holidays)</f>
        <v>46295</v>
      </c>
      <c r="J480" s="28">
        <f>IF($E480=0,$I480,WORKDAY(Settings!$D$12,ROUNDUP($H480/HoursPerDay,0),Holidays))</f>
        <v>46295</v>
      </c>
    </row>
    <row r="481" spans="1:10" x14ac:dyDescent="0.25">
      <c r="A481" s="25" t="s">
        <v>11</v>
      </c>
      <c r="B481" s="25" t="s">
        <v>110</v>
      </c>
      <c r="C481" s="25" t="s">
        <v>59</v>
      </c>
      <c r="D481" s="25" t="s">
        <v>51</v>
      </c>
      <c r="E481" s="26">
        <v>2</v>
      </c>
      <c r="F481" s="25" t="s">
        <v>60</v>
      </c>
      <c r="G481" s="27">
        <f>$H$477</f>
        <v>42</v>
      </c>
      <c r="H481" s="27">
        <f>$G481+$E481</f>
        <v>44</v>
      </c>
      <c r="I481" s="28">
        <f>WORKDAY(Settings!$D$12,INT($G481/HoursPerDay)+1,Holidays)</f>
        <v>46302</v>
      </c>
      <c r="J481" s="28">
        <f>IF($E481=0,$I481,WORKDAY(Settings!$D$12,ROUNDUP($H481/HoursPerDay,0),Holidays))</f>
        <v>46302</v>
      </c>
    </row>
    <row r="482" spans="1:10" x14ac:dyDescent="0.25">
      <c r="A482" s="19" t="s">
        <v>11</v>
      </c>
      <c r="B482" s="19" t="s">
        <v>136</v>
      </c>
      <c r="C482" s="19" t="s">
        <v>460</v>
      </c>
      <c r="D482" s="19" t="s">
        <v>45</v>
      </c>
      <c r="E482" s="20">
        <f>SUMIF($D483:$D503,"Task",$E483:$E503)</f>
        <v>76</v>
      </c>
      <c r="F482" s="19"/>
      <c r="G482" s="20"/>
      <c r="H482" s="20"/>
      <c r="I482" s="21">
        <f>MIN($I483:$I503)</f>
        <v>46295</v>
      </c>
      <c r="J482" s="21">
        <f>MAX($J483:$J503)</f>
        <v>46307</v>
      </c>
    </row>
    <row r="483" spans="1:10" x14ac:dyDescent="0.25">
      <c r="A483" s="22" t="s">
        <v>11</v>
      </c>
      <c r="B483" s="22" t="s">
        <v>138</v>
      </c>
      <c r="C483" s="22" t="s">
        <v>461</v>
      </c>
      <c r="D483" s="22" t="s">
        <v>48</v>
      </c>
      <c r="E483" s="23">
        <f>SUMIF($D484:$D487,"Task",$E484:$E487)</f>
        <v>24</v>
      </c>
      <c r="F483" s="22"/>
      <c r="G483" s="23"/>
      <c r="H483" s="23"/>
      <c r="I483" s="24">
        <f>MIN($I484:$I487)</f>
        <v>46295</v>
      </c>
      <c r="J483" s="24">
        <f>MAX($J484:$J487)</f>
        <v>46302</v>
      </c>
    </row>
    <row r="484" spans="1:10" x14ac:dyDescent="0.25">
      <c r="A484" s="25" t="s">
        <v>11</v>
      </c>
      <c r="B484" s="25" t="s">
        <v>140</v>
      </c>
      <c r="C484" s="25" t="s">
        <v>50</v>
      </c>
      <c r="D484" s="25" t="s">
        <v>51</v>
      </c>
      <c r="E484" s="26">
        <v>4</v>
      </c>
      <c r="F484" s="25" t="s">
        <v>52</v>
      </c>
      <c r="G484" s="27">
        <f>$H$457</f>
        <v>28</v>
      </c>
      <c r="H484" s="27">
        <f>$G484+$E484</f>
        <v>32</v>
      </c>
      <c r="I484" s="28">
        <f>WORKDAY(Settings!$D$12,INT($G484/HoursPerDay)+1,Holidays)</f>
        <v>46300</v>
      </c>
      <c r="J484" s="28">
        <f>IF($E484=0,$I484,WORKDAY(Settings!$D$12,ROUNDUP($H484/HoursPerDay,0),Holidays))</f>
        <v>46300</v>
      </c>
    </row>
    <row r="485" spans="1:10" x14ac:dyDescent="0.25">
      <c r="A485" s="25" t="s">
        <v>11</v>
      </c>
      <c r="B485" s="25" t="s">
        <v>141</v>
      </c>
      <c r="C485" s="25" t="s">
        <v>54</v>
      </c>
      <c r="D485" s="25" t="s">
        <v>51</v>
      </c>
      <c r="E485" s="26">
        <v>8</v>
      </c>
      <c r="F485" s="25" t="s">
        <v>52</v>
      </c>
      <c r="G485" s="27">
        <f>$H$484</f>
        <v>32</v>
      </c>
      <c r="H485" s="27">
        <f>$G485+$E485</f>
        <v>40</v>
      </c>
      <c r="I485" s="28">
        <f>WORKDAY(Settings!$D$12,INT($G485/HoursPerDay)+1,Holidays)</f>
        <v>46300</v>
      </c>
      <c r="J485" s="28">
        <f>IF($E485=0,$I485,WORKDAY(Settings!$D$12,ROUNDUP($H485/HoursPerDay,0),Holidays))</f>
        <v>46301</v>
      </c>
    </row>
    <row r="486" spans="1:10" x14ac:dyDescent="0.25">
      <c r="A486" s="25" t="s">
        <v>11</v>
      </c>
      <c r="B486" s="25" t="s">
        <v>142</v>
      </c>
      <c r="C486" s="25" t="s">
        <v>56</v>
      </c>
      <c r="D486" s="25" t="s">
        <v>51</v>
      </c>
      <c r="E486" s="26">
        <v>7</v>
      </c>
      <c r="F486" s="25" t="s">
        <v>57</v>
      </c>
      <c r="G486" s="27">
        <f>$H$480</f>
        <v>16</v>
      </c>
      <c r="H486" s="27">
        <f>$G486+$E486</f>
        <v>23</v>
      </c>
      <c r="I486" s="28">
        <f>WORKDAY(Settings!$D$12,INT($G486/HoursPerDay)+1,Holidays)</f>
        <v>46295</v>
      </c>
      <c r="J486" s="28">
        <f>IF($E486=0,$I486,WORKDAY(Settings!$D$12,ROUNDUP($H486/HoursPerDay,0),Holidays))</f>
        <v>46296</v>
      </c>
    </row>
    <row r="487" spans="1:10" x14ac:dyDescent="0.25">
      <c r="A487" s="25" t="s">
        <v>11</v>
      </c>
      <c r="B487" s="25" t="s">
        <v>143</v>
      </c>
      <c r="C487" s="25" t="s">
        <v>59</v>
      </c>
      <c r="D487" s="25" t="s">
        <v>51</v>
      </c>
      <c r="E487" s="26">
        <v>5</v>
      </c>
      <c r="F487" s="25" t="s">
        <v>60</v>
      </c>
      <c r="G487" s="27">
        <f>$H$481</f>
        <v>44</v>
      </c>
      <c r="H487" s="27">
        <f>$G487+$E487</f>
        <v>49</v>
      </c>
      <c r="I487" s="28">
        <f>WORKDAY(Settings!$D$12,INT($G487/HoursPerDay)+1,Holidays)</f>
        <v>46302</v>
      </c>
      <c r="J487" s="28">
        <f>IF($E487=0,$I487,WORKDAY(Settings!$D$12,ROUNDUP($H487/HoursPerDay,0),Holidays))</f>
        <v>46302</v>
      </c>
    </row>
    <row r="488" spans="1:10" x14ac:dyDescent="0.25">
      <c r="A488" s="22" t="s">
        <v>11</v>
      </c>
      <c r="B488" s="22" t="s">
        <v>144</v>
      </c>
      <c r="C488" s="22" t="s">
        <v>462</v>
      </c>
      <c r="D488" s="22" t="s">
        <v>48</v>
      </c>
      <c r="E488" s="23">
        <f>SUMIF($D489:$D491,"Task",$E489:$E491)</f>
        <v>14</v>
      </c>
      <c r="F488" s="22"/>
      <c r="G488" s="23"/>
      <c r="H488" s="23"/>
      <c r="I488" s="24">
        <f>MIN($I489:$I491)</f>
        <v>46296</v>
      </c>
      <c r="J488" s="24">
        <f>MAX($J489:$J491)</f>
        <v>46303</v>
      </c>
    </row>
    <row r="489" spans="1:10" x14ac:dyDescent="0.25">
      <c r="A489" s="25" t="s">
        <v>11</v>
      </c>
      <c r="B489" s="25" t="s">
        <v>146</v>
      </c>
      <c r="C489" s="25" t="s">
        <v>54</v>
      </c>
      <c r="D489" s="25" t="s">
        <v>51</v>
      </c>
      <c r="E489" s="26">
        <v>6</v>
      </c>
      <c r="F489" s="25" t="s">
        <v>52</v>
      </c>
      <c r="G489" s="27">
        <f>$H$485</f>
        <v>40</v>
      </c>
      <c r="H489" s="27">
        <f>$G489+$E489</f>
        <v>46</v>
      </c>
      <c r="I489" s="28">
        <f>WORKDAY(Settings!$D$12,INT($G489/HoursPerDay)+1,Holidays)</f>
        <v>46301</v>
      </c>
      <c r="J489" s="28">
        <f>IF($E489=0,$I489,WORKDAY(Settings!$D$12,ROUNDUP($H489/HoursPerDay,0),Holidays))</f>
        <v>46302</v>
      </c>
    </row>
    <row r="490" spans="1:10" x14ac:dyDescent="0.25">
      <c r="A490" s="25" t="s">
        <v>11</v>
      </c>
      <c r="B490" s="25" t="s">
        <v>147</v>
      </c>
      <c r="C490" s="25" t="s">
        <v>56</v>
      </c>
      <c r="D490" s="25" t="s">
        <v>51</v>
      </c>
      <c r="E490" s="26">
        <v>4</v>
      </c>
      <c r="F490" s="25" t="s">
        <v>57</v>
      </c>
      <c r="G490" s="27">
        <f>$H$486</f>
        <v>23</v>
      </c>
      <c r="H490" s="27">
        <f>$G490+$E490</f>
        <v>27</v>
      </c>
      <c r="I490" s="28">
        <f>WORKDAY(Settings!$D$12,INT($G490/HoursPerDay)+1,Holidays)</f>
        <v>46296</v>
      </c>
      <c r="J490" s="28">
        <f>IF($E490=0,$I490,WORKDAY(Settings!$D$12,ROUNDUP($H490/HoursPerDay,0),Holidays))</f>
        <v>46296</v>
      </c>
    </row>
    <row r="491" spans="1:10" x14ac:dyDescent="0.25">
      <c r="A491" s="25" t="s">
        <v>11</v>
      </c>
      <c r="B491" s="25" t="s">
        <v>463</v>
      </c>
      <c r="C491" s="25" t="s">
        <v>59</v>
      </c>
      <c r="D491" s="25" t="s">
        <v>51</v>
      </c>
      <c r="E491" s="26">
        <v>4</v>
      </c>
      <c r="F491" s="25" t="s">
        <v>60</v>
      </c>
      <c r="G491" s="27">
        <f>$H$487</f>
        <v>49</v>
      </c>
      <c r="H491" s="27">
        <f>$G491+$E491</f>
        <v>53</v>
      </c>
      <c r="I491" s="28">
        <f>WORKDAY(Settings!$D$12,INT($G491/HoursPerDay)+1,Holidays)</f>
        <v>46303</v>
      </c>
      <c r="J491" s="28">
        <f>IF($E491=0,$I491,WORKDAY(Settings!$D$12,ROUNDUP($H491/HoursPerDay,0),Holidays))</f>
        <v>46303</v>
      </c>
    </row>
    <row r="492" spans="1:10" x14ac:dyDescent="0.25">
      <c r="A492" s="22" t="s">
        <v>11</v>
      </c>
      <c r="B492" s="22" t="s">
        <v>148</v>
      </c>
      <c r="C492" s="22" t="s">
        <v>464</v>
      </c>
      <c r="D492" s="22" t="s">
        <v>48</v>
      </c>
      <c r="E492" s="23">
        <f>SUMIF($D493:$D495,"Task",$E493:$E495)</f>
        <v>12</v>
      </c>
      <c r="F492" s="22"/>
      <c r="G492" s="23"/>
      <c r="H492" s="23"/>
      <c r="I492" s="24">
        <f>MIN($I493:$I495)</f>
        <v>46296</v>
      </c>
      <c r="J492" s="24">
        <f>MAX($J493:$J495)</f>
        <v>46304</v>
      </c>
    </row>
    <row r="493" spans="1:10" x14ac:dyDescent="0.25">
      <c r="A493" s="25" t="s">
        <v>11</v>
      </c>
      <c r="B493" s="25" t="s">
        <v>150</v>
      </c>
      <c r="C493" s="25" t="s">
        <v>54</v>
      </c>
      <c r="D493" s="25" t="s">
        <v>51</v>
      </c>
      <c r="E493" s="26">
        <v>4</v>
      </c>
      <c r="F493" s="25" t="s">
        <v>52</v>
      </c>
      <c r="G493" s="27">
        <f>$H$489</f>
        <v>46</v>
      </c>
      <c r="H493" s="27">
        <f>$G493+$E493</f>
        <v>50</v>
      </c>
      <c r="I493" s="28">
        <f>WORKDAY(Settings!$D$12,INT($G493/HoursPerDay)+1,Holidays)</f>
        <v>46302</v>
      </c>
      <c r="J493" s="28">
        <f>IF($E493=0,$I493,WORKDAY(Settings!$D$12,ROUNDUP($H493/HoursPerDay,0),Holidays))</f>
        <v>46303</v>
      </c>
    </row>
    <row r="494" spans="1:10" x14ac:dyDescent="0.25">
      <c r="A494" s="25" t="s">
        <v>11</v>
      </c>
      <c r="B494" s="25" t="s">
        <v>151</v>
      </c>
      <c r="C494" s="25" t="s">
        <v>56</v>
      </c>
      <c r="D494" s="25" t="s">
        <v>51</v>
      </c>
      <c r="E494" s="26">
        <v>4</v>
      </c>
      <c r="F494" s="25" t="s">
        <v>57</v>
      </c>
      <c r="G494" s="27">
        <f>$H$490</f>
        <v>27</v>
      </c>
      <c r="H494" s="27">
        <f>$G494+$E494</f>
        <v>31</v>
      </c>
      <c r="I494" s="28">
        <f>WORKDAY(Settings!$D$12,INT($G494/HoursPerDay)+1,Holidays)</f>
        <v>46296</v>
      </c>
      <c r="J494" s="28">
        <f>IF($E494=0,$I494,WORKDAY(Settings!$D$12,ROUNDUP($H494/HoursPerDay,0),Holidays))</f>
        <v>46300</v>
      </c>
    </row>
    <row r="495" spans="1:10" x14ac:dyDescent="0.25">
      <c r="A495" s="25" t="s">
        <v>11</v>
      </c>
      <c r="B495" s="25" t="s">
        <v>152</v>
      </c>
      <c r="C495" s="25" t="s">
        <v>59</v>
      </c>
      <c r="D495" s="25" t="s">
        <v>51</v>
      </c>
      <c r="E495" s="26">
        <v>4</v>
      </c>
      <c r="F495" s="25" t="s">
        <v>60</v>
      </c>
      <c r="G495" s="27">
        <f>$H$491</f>
        <v>53</v>
      </c>
      <c r="H495" s="27">
        <f>$G495+$E495</f>
        <v>57</v>
      </c>
      <c r="I495" s="28">
        <f>WORKDAY(Settings!$D$12,INT($G495/HoursPerDay)+1,Holidays)</f>
        <v>46303</v>
      </c>
      <c r="J495" s="28">
        <f>IF($E495=0,$I495,WORKDAY(Settings!$D$12,ROUNDUP($H495/HoursPerDay,0),Holidays))</f>
        <v>46304</v>
      </c>
    </row>
    <row r="496" spans="1:10" x14ac:dyDescent="0.25">
      <c r="A496" s="22" t="s">
        <v>11</v>
      </c>
      <c r="B496" s="22" t="s">
        <v>153</v>
      </c>
      <c r="C496" s="22" t="s">
        <v>465</v>
      </c>
      <c r="D496" s="22" t="s">
        <v>48</v>
      </c>
      <c r="E496" s="23">
        <f>SUMIF($D497:$D499,"Task",$E497:$E499)</f>
        <v>22</v>
      </c>
      <c r="F496" s="22"/>
      <c r="G496" s="23"/>
      <c r="H496" s="23"/>
      <c r="I496" s="24">
        <f>MIN($I497:$I499)</f>
        <v>46300</v>
      </c>
      <c r="J496" s="24">
        <f>MAX($J497:$J499)</f>
        <v>46307</v>
      </c>
    </row>
    <row r="497" spans="1:10" x14ac:dyDescent="0.25">
      <c r="A497" s="25" t="s">
        <v>11</v>
      </c>
      <c r="B497" s="25" t="s">
        <v>155</v>
      </c>
      <c r="C497" s="25" t="s">
        <v>54</v>
      </c>
      <c r="D497" s="25" t="s">
        <v>51</v>
      </c>
      <c r="E497" s="26">
        <v>8</v>
      </c>
      <c r="F497" s="25" t="s">
        <v>52</v>
      </c>
      <c r="G497" s="27">
        <f>$H$493</f>
        <v>50</v>
      </c>
      <c r="H497" s="27">
        <f>$G497+$E497</f>
        <v>58</v>
      </c>
      <c r="I497" s="28">
        <f>WORKDAY(Settings!$D$12,INT($G497/HoursPerDay)+1,Holidays)</f>
        <v>46303</v>
      </c>
      <c r="J497" s="28">
        <f>IF($E497=0,$I497,WORKDAY(Settings!$D$12,ROUNDUP($H497/HoursPerDay,0),Holidays))</f>
        <v>46304</v>
      </c>
    </row>
    <row r="498" spans="1:10" x14ac:dyDescent="0.25">
      <c r="A498" s="25" t="s">
        <v>11</v>
      </c>
      <c r="B498" s="25" t="s">
        <v>156</v>
      </c>
      <c r="C498" s="25" t="s">
        <v>56</v>
      </c>
      <c r="D498" s="25" t="s">
        <v>51</v>
      </c>
      <c r="E498" s="26">
        <v>6</v>
      </c>
      <c r="F498" s="25" t="s">
        <v>57</v>
      </c>
      <c r="G498" s="27">
        <f>$H$494</f>
        <v>31</v>
      </c>
      <c r="H498" s="27">
        <f>$G498+$E498</f>
        <v>37</v>
      </c>
      <c r="I498" s="28">
        <f>WORKDAY(Settings!$D$12,INT($G498/HoursPerDay)+1,Holidays)</f>
        <v>46300</v>
      </c>
      <c r="J498" s="28">
        <f>IF($E498=0,$I498,WORKDAY(Settings!$D$12,ROUNDUP($H498/HoursPerDay,0),Holidays))</f>
        <v>46301</v>
      </c>
    </row>
    <row r="499" spans="1:10" x14ac:dyDescent="0.25">
      <c r="A499" s="25" t="s">
        <v>11</v>
      </c>
      <c r="B499" s="25" t="s">
        <v>466</v>
      </c>
      <c r="C499" s="25" t="s">
        <v>59</v>
      </c>
      <c r="D499" s="25" t="s">
        <v>51</v>
      </c>
      <c r="E499" s="26">
        <v>8</v>
      </c>
      <c r="F499" s="25" t="s">
        <v>60</v>
      </c>
      <c r="G499" s="27">
        <f>$H$495</f>
        <v>57</v>
      </c>
      <c r="H499" s="27">
        <f>$G499+$E499</f>
        <v>65</v>
      </c>
      <c r="I499" s="28">
        <f>WORKDAY(Settings!$D$12,INT($G499/HoursPerDay)+1,Holidays)</f>
        <v>46304</v>
      </c>
      <c r="J499" s="28">
        <f>IF($E499=0,$I499,WORKDAY(Settings!$D$12,ROUNDUP($H499/HoursPerDay,0),Holidays))</f>
        <v>46307</v>
      </c>
    </row>
    <row r="500" spans="1:10" x14ac:dyDescent="0.25">
      <c r="A500" s="22" t="s">
        <v>11</v>
      </c>
      <c r="B500" s="22" t="s">
        <v>157</v>
      </c>
      <c r="C500" s="22" t="s">
        <v>467</v>
      </c>
      <c r="D500" s="22" t="s">
        <v>48</v>
      </c>
      <c r="E500" s="23">
        <f>SUMIF($D501:$D503,"Task",$E501:$E503)</f>
        <v>4</v>
      </c>
      <c r="F500" s="22"/>
      <c r="G500" s="23"/>
      <c r="H500" s="23"/>
      <c r="I500" s="24">
        <f>MIN($I501:$I503)</f>
        <v>46301</v>
      </c>
      <c r="J500" s="24">
        <f>MAX($J501:$J503)</f>
        <v>46307</v>
      </c>
    </row>
    <row r="501" spans="1:10" x14ac:dyDescent="0.25">
      <c r="A501" s="25" t="s">
        <v>11</v>
      </c>
      <c r="B501" s="25" t="s">
        <v>159</v>
      </c>
      <c r="C501" s="25" t="s">
        <v>54</v>
      </c>
      <c r="D501" s="25" t="s">
        <v>51</v>
      </c>
      <c r="E501" s="26">
        <v>2</v>
      </c>
      <c r="F501" s="25" t="s">
        <v>52</v>
      </c>
      <c r="G501" s="27">
        <f>$H$497</f>
        <v>58</v>
      </c>
      <c r="H501" s="27">
        <f>$G501+$E501</f>
        <v>60</v>
      </c>
      <c r="I501" s="28">
        <f>WORKDAY(Settings!$D$12,INT($G501/HoursPerDay)+1,Holidays)</f>
        <v>46304</v>
      </c>
      <c r="J501" s="28">
        <f>IF($E501=0,$I501,WORKDAY(Settings!$D$12,ROUNDUP($H501/HoursPerDay,0),Holidays))</f>
        <v>46304</v>
      </c>
    </row>
    <row r="502" spans="1:10" x14ac:dyDescent="0.25">
      <c r="A502" s="25" t="s">
        <v>11</v>
      </c>
      <c r="B502" s="25" t="s">
        <v>160</v>
      </c>
      <c r="C502" s="25" t="s">
        <v>56</v>
      </c>
      <c r="D502" s="25" t="s">
        <v>51</v>
      </c>
      <c r="E502" s="26">
        <v>1</v>
      </c>
      <c r="F502" s="25" t="s">
        <v>57</v>
      </c>
      <c r="G502" s="27">
        <f>$H$498</f>
        <v>37</v>
      </c>
      <c r="H502" s="27">
        <f>$G502+$E502</f>
        <v>38</v>
      </c>
      <c r="I502" s="28">
        <f>WORKDAY(Settings!$D$12,INT($G502/HoursPerDay)+1,Holidays)</f>
        <v>46301</v>
      </c>
      <c r="J502" s="28">
        <f>IF($E502=0,$I502,WORKDAY(Settings!$D$12,ROUNDUP($H502/HoursPerDay,0),Holidays))</f>
        <v>46301</v>
      </c>
    </row>
    <row r="503" spans="1:10" x14ac:dyDescent="0.25">
      <c r="A503" s="25" t="s">
        <v>11</v>
      </c>
      <c r="B503" s="25" t="s">
        <v>161</v>
      </c>
      <c r="C503" s="25" t="s">
        <v>59</v>
      </c>
      <c r="D503" s="25" t="s">
        <v>51</v>
      </c>
      <c r="E503" s="26">
        <v>1</v>
      </c>
      <c r="F503" s="25" t="s">
        <v>60</v>
      </c>
      <c r="G503" s="27">
        <f>$H$499</f>
        <v>65</v>
      </c>
      <c r="H503" s="27">
        <f>$G503+$E503</f>
        <v>66</v>
      </c>
      <c r="I503" s="28">
        <f>WORKDAY(Settings!$D$12,INT($G503/HoursPerDay)+1,Holidays)</f>
        <v>46307</v>
      </c>
      <c r="J503" s="28">
        <f>IF($E503=0,$I503,WORKDAY(Settings!$D$12,ROUNDUP($H503/HoursPerDay,0),Holidays))</f>
        <v>46307</v>
      </c>
    </row>
    <row r="504" spans="1:10" x14ac:dyDescent="0.25">
      <c r="A504" s="19" t="s">
        <v>11</v>
      </c>
      <c r="B504" s="19" t="s">
        <v>173</v>
      </c>
      <c r="C504" s="19" t="s">
        <v>468</v>
      </c>
      <c r="D504" s="19" t="s">
        <v>45</v>
      </c>
      <c r="E504" s="20">
        <f>SUMIF($D505:$D524,"Task",$E505:$E524)</f>
        <v>63</v>
      </c>
      <c r="F504" s="19"/>
      <c r="G504" s="20"/>
      <c r="H504" s="20"/>
      <c r="I504" s="21">
        <f>MIN($I505:$I524)</f>
        <v>46301</v>
      </c>
      <c r="J504" s="21">
        <f>MAX($J505:$J524)</f>
        <v>46309</v>
      </c>
    </row>
    <row r="505" spans="1:10" x14ac:dyDescent="0.25">
      <c r="A505" s="22" t="s">
        <v>11</v>
      </c>
      <c r="B505" s="22" t="s">
        <v>175</v>
      </c>
      <c r="C505" s="22" t="s">
        <v>469</v>
      </c>
      <c r="D505" s="22" t="s">
        <v>48</v>
      </c>
      <c r="E505" s="23">
        <f>SUMIF($D506:$D509,"Task",$E506:$E509)</f>
        <v>24</v>
      </c>
      <c r="F505" s="22"/>
      <c r="G505" s="23"/>
      <c r="H505" s="23"/>
      <c r="I505" s="24">
        <f>MIN($I506:$I509)</f>
        <v>46301</v>
      </c>
      <c r="J505" s="24">
        <f>MAX($J506:$J509)</f>
        <v>46308</v>
      </c>
    </row>
    <row r="506" spans="1:10" x14ac:dyDescent="0.25">
      <c r="A506" s="25" t="s">
        <v>11</v>
      </c>
      <c r="B506" s="25" t="s">
        <v>177</v>
      </c>
      <c r="C506" s="25" t="s">
        <v>50</v>
      </c>
      <c r="D506" s="25" t="s">
        <v>51</v>
      </c>
      <c r="E506" s="26">
        <v>6</v>
      </c>
      <c r="F506" s="25" t="s">
        <v>78</v>
      </c>
      <c r="G506" s="27">
        <f>$H$479</f>
        <v>46</v>
      </c>
      <c r="H506" s="27">
        <f>$G506+$E506</f>
        <v>52</v>
      </c>
      <c r="I506" s="28">
        <f>WORKDAY(Settings!$D$12,INT($G506/HoursPerDay)+1,Holidays)</f>
        <v>46302</v>
      </c>
      <c r="J506" s="28">
        <f>IF($E506=0,$I506,WORKDAY(Settings!$D$12,ROUNDUP($H506/HoursPerDay,0),Holidays))</f>
        <v>46303</v>
      </c>
    </row>
    <row r="507" spans="1:10" x14ac:dyDescent="0.25">
      <c r="A507" s="25" t="s">
        <v>11</v>
      </c>
      <c r="B507" s="25" t="s">
        <v>178</v>
      </c>
      <c r="C507" s="25" t="s">
        <v>54</v>
      </c>
      <c r="D507" s="25" t="s">
        <v>51</v>
      </c>
      <c r="E507" s="26">
        <v>6</v>
      </c>
      <c r="F507" s="25" t="s">
        <v>78</v>
      </c>
      <c r="G507" s="27">
        <f>$H$506</f>
        <v>52</v>
      </c>
      <c r="H507" s="27">
        <f>$G507+$E507</f>
        <v>58</v>
      </c>
      <c r="I507" s="28">
        <f>WORKDAY(Settings!$D$12,INT($G507/HoursPerDay)+1,Holidays)</f>
        <v>46303</v>
      </c>
      <c r="J507" s="28">
        <f>IF($E507=0,$I507,WORKDAY(Settings!$D$12,ROUNDUP($H507/HoursPerDay,0),Holidays))</f>
        <v>46304</v>
      </c>
    </row>
    <row r="508" spans="1:10" x14ac:dyDescent="0.25">
      <c r="A508" s="25" t="s">
        <v>11</v>
      </c>
      <c r="B508" s="25" t="s">
        <v>179</v>
      </c>
      <c r="C508" s="25" t="s">
        <v>56</v>
      </c>
      <c r="D508" s="25" t="s">
        <v>51</v>
      </c>
      <c r="E508" s="26">
        <v>6</v>
      </c>
      <c r="F508" s="25" t="s">
        <v>57</v>
      </c>
      <c r="G508" s="27">
        <f>$H$502</f>
        <v>38</v>
      </c>
      <c r="H508" s="27">
        <f>$G508+$E508</f>
        <v>44</v>
      </c>
      <c r="I508" s="28">
        <f>WORKDAY(Settings!$D$12,INT($G508/HoursPerDay)+1,Holidays)</f>
        <v>46301</v>
      </c>
      <c r="J508" s="28">
        <f>IF($E508=0,$I508,WORKDAY(Settings!$D$12,ROUNDUP($H508/HoursPerDay,0),Holidays))</f>
        <v>46302</v>
      </c>
    </row>
    <row r="509" spans="1:10" x14ac:dyDescent="0.25">
      <c r="A509" s="25" t="s">
        <v>11</v>
      </c>
      <c r="B509" s="25" t="s">
        <v>355</v>
      </c>
      <c r="C509" s="25" t="s">
        <v>59</v>
      </c>
      <c r="D509" s="25" t="s">
        <v>51</v>
      </c>
      <c r="E509" s="26">
        <v>6</v>
      </c>
      <c r="F509" s="25" t="s">
        <v>60</v>
      </c>
      <c r="G509" s="27">
        <f>$H$503</f>
        <v>66</v>
      </c>
      <c r="H509" s="27">
        <f>$G509+$E509</f>
        <v>72</v>
      </c>
      <c r="I509" s="28">
        <f>WORKDAY(Settings!$D$12,INT($G509/HoursPerDay)+1,Holidays)</f>
        <v>46307</v>
      </c>
      <c r="J509" s="28">
        <f>IF($E509=0,$I509,WORKDAY(Settings!$D$12,ROUNDUP($H509/HoursPerDay,0),Holidays))</f>
        <v>46308</v>
      </c>
    </row>
    <row r="510" spans="1:10" x14ac:dyDescent="0.25">
      <c r="A510" s="22" t="s">
        <v>11</v>
      </c>
      <c r="B510" s="22" t="s">
        <v>180</v>
      </c>
      <c r="C510" s="22" t="s">
        <v>470</v>
      </c>
      <c r="D510" s="22" t="s">
        <v>48</v>
      </c>
      <c r="E510" s="23">
        <f>SUMIF($D511:$D513,"Task",$E511:$E513)</f>
        <v>14</v>
      </c>
      <c r="F510" s="22"/>
      <c r="G510" s="23"/>
      <c r="H510" s="23"/>
      <c r="I510" s="24">
        <f>MIN($I511:$I513)</f>
        <v>46302</v>
      </c>
      <c r="J510" s="24">
        <f>MAX($J511:$J513)</f>
        <v>46308</v>
      </c>
    </row>
    <row r="511" spans="1:10" x14ac:dyDescent="0.25">
      <c r="A511" s="25" t="s">
        <v>11</v>
      </c>
      <c r="B511" s="25" t="s">
        <v>183</v>
      </c>
      <c r="C511" s="25" t="s">
        <v>54</v>
      </c>
      <c r="D511" s="25" t="s">
        <v>51</v>
      </c>
      <c r="E511" s="26">
        <v>4</v>
      </c>
      <c r="F511" s="25" t="s">
        <v>78</v>
      </c>
      <c r="G511" s="27">
        <f>$H$507</f>
        <v>58</v>
      </c>
      <c r="H511" s="27">
        <f>$G511+$E511</f>
        <v>62</v>
      </c>
      <c r="I511" s="28">
        <f>WORKDAY(Settings!$D$12,INT($G511/HoursPerDay)+1,Holidays)</f>
        <v>46304</v>
      </c>
      <c r="J511" s="28">
        <f>IF($E511=0,$I511,WORKDAY(Settings!$D$12,ROUNDUP($H511/HoursPerDay,0),Holidays))</f>
        <v>46304</v>
      </c>
    </row>
    <row r="512" spans="1:10" x14ac:dyDescent="0.25">
      <c r="A512" s="25" t="s">
        <v>11</v>
      </c>
      <c r="B512" s="25" t="s">
        <v>184</v>
      </c>
      <c r="C512" s="25" t="s">
        <v>56</v>
      </c>
      <c r="D512" s="25" t="s">
        <v>51</v>
      </c>
      <c r="E512" s="26">
        <v>5</v>
      </c>
      <c r="F512" s="25" t="s">
        <v>57</v>
      </c>
      <c r="G512" s="27">
        <f>$H$508</f>
        <v>44</v>
      </c>
      <c r="H512" s="27">
        <f>$G512+$E512</f>
        <v>49</v>
      </c>
      <c r="I512" s="28">
        <f>WORKDAY(Settings!$D$12,INT($G512/HoursPerDay)+1,Holidays)</f>
        <v>46302</v>
      </c>
      <c r="J512" s="28">
        <f>IF($E512=0,$I512,WORKDAY(Settings!$D$12,ROUNDUP($H512/HoursPerDay,0),Holidays))</f>
        <v>46302</v>
      </c>
    </row>
    <row r="513" spans="1:10" x14ac:dyDescent="0.25">
      <c r="A513" s="25" t="s">
        <v>11</v>
      </c>
      <c r="B513" s="25" t="s">
        <v>471</v>
      </c>
      <c r="C513" s="25" t="s">
        <v>59</v>
      </c>
      <c r="D513" s="25" t="s">
        <v>51</v>
      </c>
      <c r="E513" s="26">
        <v>5</v>
      </c>
      <c r="F513" s="25" t="s">
        <v>60</v>
      </c>
      <c r="G513" s="27">
        <f>$H$509</f>
        <v>72</v>
      </c>
      <c r="H513" s="27">
        <f>$G513+$E513</f>
        <v>77</v>
      </c>
      <c r="I513" s="28">
        <f>WORKDAY(Settings!$D$12,INT($G513/HoursPerDay)+1,Holidays)</f>
        <v>46308</v>
      </c>
      <c r="J513" s="28">
        <f>IF($E513=0,$I513,WORKDAY(Settings!$D$12,ROUNDUP($H513/HoursPerDay,0),Holidays))</f>
        <v>46308</v>
      </c>
    </row>
    <row r="514" spans="1:10" x14ac:dyDescent="0.25">
      <c r="A514" s="22" t="s">
        <v>11</v>
      </c>
      <c r="B514" s="22" t="s">
        <v>185</v>
      </c>
      <c r="C514" s="22" t="s">
        <v>472</v>
      </c>
      <c r="D514" s="22" t="s">
        <v>48</v>
      </c>
      <c r="E514" s="23">
        <f>SUMIF($D515:$D517,"Task",$E515:$E517)</f>
        <v>11</v>
      </c>
      <c r="F514" s="22"/>
      <c r="G514" s="23"/>
      <c r="H514" s="23"/>
      <c r="I514" s="24">
        <f>MIN($I515:$I517)</f>
        <v>46303</v>
      </c>
      <c r="J514" s="24">
        <f>MAX($J515:$J517)</f>
        <v>46309</v>
      </c>
    </row>
    <row r="515" spans="1:10" x14ac:dyDescent="0.25">
      <c r="A515" s="25" t="s">
        <v>11</v>
      </c>
      <c r="B515" s="25" t="s">
        <v>187</v>
      </c>
      <c r="C515" s="25" t="s">
        <v>54</v>
      </c>
      <c r="D515" s="25" t="s">
        <v>51</v>
      </c>
      <c r="E515" s="26">
        <v>4</v>
      </c>
      <c r="F515" s="25" t="s">
        <v>78</v>
      </c>
      <c r="G515" s="27">
        <f>$H$511</f>
        <v>62</v>
      </c>
      <c r="H515" s="27">
        <f>$G515+$E515</f>
        <v>66</v>
      </c>
      <c r="I515" s="28">
        <f>WORKDAY(Settings!$D$12,INT($G515/HoursPerDay)+1,Holidays)</f>
        <v>46304</v>
      </c>
      <c r="J515" s="28">
        <f>IF($E515=0,$I515,WORKDAY(Settings!$D$12,ROUNDUP($H515/HoursPerDay,0),Holidays))</f>
        <v>46307</v>
      </c>
    </row>
    <row r="516" spans="1:10" x14ac:dyDescent="0.25">
      <c r="A516" s="25" t="s">
        <v>11</v>
      </c>
      <c r="B516" s="25" t="s">
        <v>188</v>
      </c>
      <c r="C516" s="25" t="s">
        <v>56</v>
      </c>
      <c r="D516" s="25" t="s">
        <v>51</v>
      </c>
      <c r="E516" s="26">
        <v>4</v>
      </c>
      <c r="F516" s="25" t="s">
        <v>57</v>
      </c>
      <c r="G516" s="27">
        <f>$H$512</f>
        <v>49</v>
      </c>
      <c r="H516" s="27">
        <f>$G516+$E516</f>
        <v>53</v>
      </c>
      <c r="I516" s="28">
        <f>WORKDAY(Settings!$D$12,INT($G516/HoursPerDay)+1,Holidays)</f>
        <v>46303</v>
      </c>
      <c r="J516" s="28">
        <f>IF($E516=0,$I516,WORKDAY(Settings!$D$12,ROUNDUP($H516/HoursPerDay,0),Holidays))</f>
        <v>46303</v>
      </c>
    </row>
    <row r="517" spans="1:10" x14ac:dyDescent="0.25">
      <c r="A517" s="25" t="s">
        <v>11</v>
      </c>
      <c r="B517" s="25" t="s">
        <v>473</v>
      </c>
      <c r="C517" s="25" t="s">
        <v>59</v>
      </c>
      <c r="D517" s="25" t="s">
        <v>51</v>
      </c>
      <c r="E517" s="26">
        <v>3</v>
      </c>
      <c r="F517" s="25" t="s">
        <v>60</v>
      </c>
      <c r="G517" s="27">
        <f>$H$513</f>
        <v>77</v>
      </c>
      <c r="H517" s="27">
        <f>$G517+$E517</f>
        <v>80</v>
      </c>
      <c r="I517" s="28">
        <f>WORKDAY(Settings!$D$12,INT($G517/HoursPerDay)+1,Holidays)</f>
        <v>46309</v>
      </c>
      <c r="J517" s="28">
        <f>IF($E517=0,$I517,WORKDAY(Settings!$D$12,ROUNDUP($H517/HoursPerDay,0),Holidays))</f>
        <v>46309</v>
      </c>
    </row>
    <row r="518" spans="1:10" x14ac:dyDescent="0.25">
      <c r="A518" s="22" t="s">
        <v>11</v>
      </c>
      <c r="B518" s="22" t="s">
        <v>189</v>
      </c>
      <c r="C518" s="22" t="s">
        <v>474</v>
      </c>
      <c r="D518" s="22" t="s">
        <v>48</v>
      </c>
      <c r="E518" s="23">
        <f>SUMIF($D519:$D521,"Task",$E519:$E521)</f>
        <v>7</v>
      </c>
      <c r="F518" s="22"/>
      <c r="G518" s="23"/>
      <c r="H518" s="23"/>
      <c r="I518" s="24">
        <f>MIN($I519:$I521)</f>
        <v>46303</v>
      </c>
      <c r="J518" s="24">
        <f>MAX($J519:$J521)</f>
        <v>46309</v>
      </c>
    </row>
    <row r="519" spans="1:10" x14ac:dyDescent="0.25">
      <c r="A519" s="25" t="s">
        <v>11</v>
      </c>
      <c r="B519" s="25" t="s">
        <v>192</v>
      </c>
      <c r="C519" s="25" t="s">
        <v>54</v>
      </c>
      <c r="D519" s="25" t="s">
        <v>51</v>
      </c>
      <c r="E519" s="26">
        <v>3</v>
      </c>
      <c r="F519" s="25" t="s">
        <v>78</v>
      </c>
      <c r="G519" s="27">
        <f>$H$515</f>
        <v>66</v>
      </c>
      <c r="H519" s="27">
        <f>$G519+$E519</f>
        <v>69</v>
      </c>
      <c r="I519" s="28">
        <f>WORKDAY(Settings!$D$12,INT($G519/HoursPerDay)+1,Holidays)</f>
        <v>46307</v>
      </c>
      <c r="J519" s="28">
        <f>IF($E519=0,$I519,WORKDAY(Settings!$D$12,ROUNDUP($H519/HoursPerDay,0),Holidays))</f>
        <v>46307</v>
      </c>
    </row>
    <row r="520" spans="1:10" x14ac:dyDescent="0.25">
      <c r="A520" s="25" t="s">
        <v>11</v>
      </c>
      <c r="B520" s="25" t="s">
        <v>193</v>
      </c>
      <c r="C520" s="25" t="s">
        <v>56</v>
      </c>
      <c r="D520" s="25" t="s">
        <v>51</v>
      </c>
      <c r="E520" s="26">
        <v>2</v>
      </c>
      <c r="F520" s="25" t="s">
        <v>57</v>
      </c>
      <c r="G520" s="27">
        <f>$H$516</f>
        <v>53</v>
      </c>
      <c r="H520" s="27">
        <f>$G520+$E520</f>
        <v>55</v>
      </c>
      <c r="I520" s="28">
        <f>WORKDAY(Settings!$D$12,INT($G520/HoursPerDay)+1,Holidays)</f>
        <v>46303</v>
      </c>
      <c r="J520" s="28">
        <f>IF($E520=0,$I520,WORKDAY(Settings!$D$12,ROUNDUP($H520/HoursPerDay,0),Holidays))</f>
        <v>46303</v>
      </c>
    </row>
    <row r="521" spans="1:10" x14ac:dyDescent="0.25">
      <c r="A521" s="25" t="s">
        <v>11</v>
      </c>
      <c r="B521" s="25" t="s">
        <v>194</v>
      </c>
      <c r="C521" s="25" t="s">
        <v>59</v>
      </c>
      <c r="D521" s="25" t="s">
        <v>51</v>
      </c>
      <c r="E521" s="26">
        <v>2</v>
      </c>
      <c r="F521" s="25" t="s">
        <v>60</v>
      </c>
      <c r="G521" s="27">
        <f>$H$517</f>
        <v>80</v>
      </c>
      <c r="H521" s="27">
        <f>$G521+$E521</f>
        <v>82</v>
      </c>
      <c r="I521" s="28">
        <f>WORKDAY(Settings!$D$12,INT($G521/HoursPerDay)+1,Holidays)</f>
        <v>46309</v>
      </c>
      <c r="J521" s="28">
        <f>IF($E521=0,$I521,WORKDAY(Settings!$D$12,ROUNDUP($H521/HoursPerDay,0),Holidays))</f>
        <v>46309</v>
      </c>
    </row>
    <row r="522" spans="1:10" x14ac:dyDescent="0.25">
      <c r="A522" s="22" t="s">
        <v>11</v>
      </c>
      <c r="B522" s="22" t="s">
        <v>195</v>
      </c>
      <c r="C522" s="22" t="s">
        <v>475</v>
      </c>
      <c r="D522" s="22" t="s">
        <v>48</v>
      </c>
      <c r="E522" s="23">
        <f>SUMIF($D523:$D524,"Task",$E523:$E524)</f>
        <v>7</v>
      </c>
      <c r="F522" s="22"/>
      <c r="G522" s="23"/>
      <c r="H522" s="23"/>
      <c r="I522" s="24">
        <f>MIN($I523:$I524)</f>
        <v>46303</v>
      </c>
      <c r="J522" s="24">
        <f>MAX($J523:$J524)</f>
        <v>46308</v>
      </c>
    </row>
    <row r="523" spans="1:10" x14ac:dyDescent="0.25">
      <c r="A523" s="25" t="s">
        <v>11</v>
      </c>
      <c r="B523" s="25" t="s">
        <v>198</v>
      </c>
      <c r="C523" s="25" t="s">
        <v>54</v>
      </c>
      <c r="D523" s="25" t="s">
        <v>51</v>
      </c>
      <c r="E523" s="26">
        <v>4</v>
      </c>
      <c r="F523" s="25" t="s">
        <v>78</v>
      </c>
      <c r="G523" s="27">
        <f>$H$519</f>
        <v>69</v>
      </c>
      <c r="H523" s="27">
        <f>$G523+$E523</f>
        <v>73</v>
      </c>
      <c r="I523" s="28">
        <f>WORKDAY(Settings!$D$12,INT($G523/HoursPerDay)+1,Holidays)</f>
        <v>46307</v>
      </c>
      <c r="J523" s="28">
        <f>IF($E523=0,$I523,WORKDAY(Settings!$D$12,ROUNDUP($H523/HoursPerDay,0),Holidays))</f>
        <v>46308</v>
      </c>
    </row>
    <row r="524" spans="1:10" x14ac:dyDescent="0.25">
      <c r="A524" s="25" t="s">
        <v>11</v>
      </c>
      <c r="B524" s="25" t="s">
        <v>199</v>
      </c>
      <c r="C524" s="25" t="s">
        <v>56</v>
      </c>
      <c r="D524" s="25" t="s">
        <v>51</v>
      </c>
      <c r="E524" s="26">
        <v>3</v>
      </c>
      <c r="F524" s="25" t="s">
        <v>57</v>
      </c>
      <c r="G524" s="27">
        <f>$H$520</f>
        <v>55</v>
      </c>
      <c r="H524" s="27">
        <f>$G524+$E524</f>
        <v>58</v>
      </c>
      <c r="I524" s="28">
        <f>WORKDAY(Settings!$D$12,INT($G524/HoursPerDay)+1,Holidays)</f>
        <v>46303</v>
      </c>
      <c r="J524" s="28">
        <f>IF($E524=0,$I524,WORKDAY(Settings!$D$12,ROUNDUP($H524/HoursPerDay,0),Holidays))</f>
        <v>46304</v>
      </c>
    </row>
    <row r="525" spans="1:10" x14ac:dyDescent="0.25">
      <c r="A525" s="19" t="s">
        <v>11</v>
      </c>
      <c r="B525" s="19" t="s">
        <v>205</v>
      </c>
      <c r="C525" s="19" t="s">
        <v>476</v>
      </c>
      <c r="D525" s="19" t="s">
        <v>45</v>
      </c>
      <c r="E525" s="20">
        <f>SUMIF($D526:$D569,"Task",$E526:$E569)</f>
        <v>129</v>
      </c>
      <c r="F525" s="19"/>
      <c r="G525" s="20"/>
      <c r="H525" s="20"/>
      <c r="I525" s="21">
        <f>MIN($I526:$I569)</f>
        <v>46304</v>
      </c>
      <c r="J525" s="21">
        <f>MAX($J526:$J569)</f>
        <v>46316</v>
      </c>
    </row>
    <row r="526" spans="1:10" x14ac:dyDescent="0.25">
      <c r="A526" s="22" t="s">
        <v>11</v>
      </c>
      <c r="B526" s="22" t="s">
        <v>207</v>
      </c>
      <c r="C526" s="22" t="s">
        <v>477</v>
      </c>
      <c r="D526" s="22" t="s">
        <v>48</v>
      </c>
      <c r="E526" s="23">
        <f>SUMIF($D527:$D529,"Task",$E527:$E529)</f>
        <v>11</v>
      </c>
      <c r="F526" s="22"/>
      <c r="G526" s="23"/>
      <c r="H526" s="23"/>
      <c r="I526" s="24">
        <f>MIN($I527:$I529)</f>
        <v>46304</v>
      </c>
      <c r="J526" s="24">
        <f>MAX($J527:$J529)</f>
        <v>46307</v>
      </c>
    </row>
    <row r="527" spans="1:10" x14ac:dyDescent="0.25">
      <c r="A527" s="25" t="s">
        <v>11</v>
      </c>
      <c r="B527" s="25" t="s">
        <v>209</v>
      </c>
      <c r="C527" s="25" t="s">
        <v>50</v>
      </c>
      <c r="D527" s="25" t="s">
        <v>51</v>
      </c>
      <c r="E527" s="26">
        <v>2</v>
      </c>
      <c r="F527" s="25" t="s">
        <v>52</v>
      </c>
      <c r="G527" s="27">
        <f>$H$501</f>
        <v>60</v>
      </c>
      <c r="H527" s="27">
        <f>$G527+$E527</f>
        <v>62</v>
      </c>
      <c r="I527" s="28">
        <f>WORKDAY(Settings!$D$12,INT($G527/HoursPerDay)+1,Holidays)</f>
        <v>46304</v>
      </c>
      <c r="J527" s="28">
        <f>IF($E527=0,$I527,WORKDAY(Settings!$D$12,ROUNDUP($H527/HoursPerDay,0),Holidays))</f>
        <v>46304</v>
      </c>
    </row>
    <row r="528" spans="1:10" x14ac:dyDescent="0.25">
      <c r="A528" s="25" t="s">
        <v>11</v>
      </c>
      <c r="B528" s="25" t="s">
        <v>210</v>
      </c>
      <c r="C528" s="25" t="s">
        <v>54</v>
      </c>
      <c r="D528" s="25" t="s">
        <v>51</v>
      </c>
      <c r="E528" s="26">
        <v>4</v>
      </c>
      <c r="F528" s="25" t="s">
        <v>52</v>
      </c>
      <c r="G528" s="27">
        <f>$H$527</f>
        <v>62</v>
      </c>
      <c r="H528" s="27">
        <f>$G528+$E528</f>
        <v>66</v>
      </c>
      <c r="I528" s="28">
        <f>WORKDAY(Settings!$D$12,INT($G528/HoursPerDay)+1,Holidays)</f>
        <v>46304</v>
      </c>
      <c r="J528" s="28">
        <f>IF($E528=0,$I528,WORKDAY(Settings!$D$12,ROUNDUP($H528/HoursPerDay,0),Holidays))</f>
        <v>46307</v>
      </c>
    </row>
    <row r="529" spans="1:10" x14ac:dyDescent="0.25">
      <c r="A529" s="25" t="s">
        <v>11</v>
      </c>
      <c r="B529" s="25" t="s">
        <v>211</v>
      </c>
      <c r="C529" s="25" t="s">
        <v>56</v>
      </c>
      <c r="D529" s="25" t="s">
        <v>51</v>
      </c>
      <c r="E529" s="26">
        <v>5</v>
      </c>
      <c r="F529" s="25" t="s">
        <v>57</v>
      </c>
      <c r="G529" s="27">
        <f>$H$524</f>
        <v>58</v>
      </c>
      <c r="H529" s="27">
        <f>$G529+$E529</f>
        <v>63</v>
      </c>
      <c r="I529" s="28">
        <f>WORKDAY(Settings!$D$12,INT($G529/HoursPerDay)+1,Holidays)</f>
        <v>46304</v>
      </c>
      <c r="J529" s="28">
        <f>IF($E529=0,$I529,WORKDAY(Settings!$D$12,ROUNDUP($H529/HoursPerDay,0),Holidays))</f>
        <v>46304</v>
      </c>
    </row>
    <row r="530" spans="1:10" x14ac:dyDescent="0.25">
      <c r="A530" s="22" t="s">
        <v>11</v>
      </c>
      <c r="B530" s="22" t="s">
        <v>212</v>
      </c>
      <c r="C530" s="22" t="s">
        <v>478</v>
      </c>
      <c r="D530" s="22" t="s">
        <v>48</v>
      </c>
      <c r="E530" s="23">
        <f>SUMIF($D531:$D533,"Task",$E531:$E533)</f>
        <v>21</v>
      </c>
      <c r="F530" s="22"/>
      <c r="G530" s="23"/>
      <c r="H530" s="23"/>
      <c r="I530" s="24">
        <f>MIN($I531:$I533)</f>
        <v>46307</v>
      </c>
      <c r="J530" s="24">
        <f>MAX($J531:$J533)</f>
        <v>46310</v>
      </c>
    </row>
    <row r="531" spans="1:10" x14ac:dyDescent="0.25">
      <c r="A531" s="25" t="s">
        <v>11</v>
      </c>
      <c r="B531" s="25" t="s">
        <v>215</v>
      </c>
      <c r="C531" s="25" t="s">
        <v>54</v>
      </c>
      <c r="D531" s="25" t="s">
        <v>51</v>
      </c>
      <c r="E531" s="26">
        <v>6</v>
      </c>
      <c r="F531" s="25" t="s">
        <v>52</v>
      </c>
      <c r="G531" s="27">
        <f>$H$528</f>
        <v>66</v>
      </c>
      <c r="H531" s="27">
        <f>$G531+$E531</f>
        <v>72</v>
      </c>
      <c r="I531" s="28">
        <f>WORKDAY(Settings!$D$12,INT($G531/HoursPerDay)+1,Holidays)</f>
        <v>46307</v>
      </c>
      <c r="J531" s="28">
        <f>IF($E531=0,$I531,WORKDAY(Settings!$D$12,ROUNDUP($H531/HoursPerDay,0),Holidays))</f>
        <v>46308</v>
      </c>
    </row>
    <row r="532" spans="1:10" x14ac:dyDescent="0.25">
      <c r="A532" s="25" t="s">
        <v>11</v>
      </c>
      <c r="B532" s="25" t="s">
        <v>216</v>
      </c>
      <c r="C532" s="25" t="s">
        <v>56</v>
      </c>
      <c r="D532" s="25" t="s">
        <v>51</v>
      </c>
      <c r="E532" s="26">
        <v>7</v>
      </c>
      <c r="F532" s="25" t="s">
        <v>57</v>
      </c>
      <c r="G532" s="27">
        <f>$H$529</f>
        <v>63</v>
      </c>
      <c r="H532" s="27">
        <f>$G532+$E532</f>
        <v>70</v>
      </c>
      <c r="I532" s="28">
        <f>WORKDAY(Settings!$D$12,INT($G532/HoursPerDay)+1,Holidays)</f>
        <v>46307</v>
      </c>
      <c r="J532" s="28">
        <f>IF($E532=0,$I532,WORKDAY(Settings!$D$12,ROUNDUP($H532/HoursPerDay,0),Holidays))</f>
        <v>46307</v>
      </c>
    </row>
    <row r="533" spans="1:10" x14ac:dyDescent="0.25">
      <c r="A533" s="25" t="s">
        <v>11</v>
      </c>
      <c r="B533" s="25" t="s">
        <v>479</v>
      </c>
      <c r="C533" s="25" t="s">
        <v>59</v>
      </c>
      <c r="D533" s="25" t="s">
        <v>51</v>
      </c>
      <c r="E533" s="26">
        <v>8</v>
      </c>
      <c r="F533" s="25" t="s">
        <v>60</v>
      </c>
      <c r="G533" s="27">
        <f>$H$521</f>
        <v>82</v>
      </c>
      <c r="H533" s="27">
        <f>$G533+$E533</f>
        <v>90</v>
      </c>
      <c r="I533" s="28">
        <f>WORKDAY(Settings!$D$12,INT($G533/HoursPerDay)+1,Holidays)</f>
        <v>46309</v>
      </c>
      <c r="J533" s="28">
        <f>IF($E533=0,$I533,WORKDAY(Settings!$D$12,ROUNDUP($H533/HoursPerDay,0),Holidays))</f>
        <v>46310</v>
      </c>
    </row>
    <row r="534" spans="1:10" x14ac:dyDescent="0.25">
      <c r="A534" s="22" t="s">
        <v>11</v>
      </c>
      <c r="B534" s="22" t="s">
        <v>366</v>
      </c>
      <c r="C534" s="22" t="s">
        <v>480</v>
      </c>
      <c r="D534" s="22" t="s">
        <v>48</v>
      </c>
      <c r="E534" s="23">
        <f>SUMIF($D535:$D537,"Task",$E535:$E537)</f>
        <v>16</v>
      </c>
      <c r="F534" s="22"/>
      <c r="G534" s="23"/>
      <c r="H534" s="23"/>
      <c r="I534" s="24">
        <f>MIN($I535:$I537)</f>
        <v>46308</v>
      </c>
      <c r="J534" s="24">
        <f>MAX($J535:$J537)</f>
        <v>46311</v>
      </c>
    </row>
    <row r="535" spans="1:10" x14ac:dyDescent="0.25">
      <c r="A535" s="25" t="s">
        <v>11</v>
      </c>
      <c r="B535" s="25" t="s">
        <v>369</v>
      </c>
      <c r="C535" s="25" t="s">
        <v>54</v>
      </c>
      <c r="D535" s="25" t="s">
        <v>51</v>
      </c>
      <c r="E535" s="26">
        <v>6</v>
      </c>
      <c r="F535" s="25" t="s">
        <v>52</v>
      </c>
      <c r="G535" s="27">
        <f>$H$531</f>
        <v>72</v>
      </c>
      <c r="H535" s="27">
        <f>$G535+$E535</f>
        <v>78</v>
      </c>
      <c r="I535" s="28">
        <f>WORKDAY(Settings!$D$12,INT($G535/HoursPerDay)+1,Holidays)</f>
        <v>46308</v>
      </c>
      <c r="J535" s="28">
        <f>IF($E535=0,$I535,WORKDAY(Settings!$D$12,ROUNDUP($H535/HoursPerDay,0),Holidays))</f>
        <v>46309</v>
      </c>
    </row>
    <row r="536" spans="1:10" x14ac:dyDescent="0.25">
      <c r="A536" s="25" t="s">
        <v>11</v>
      </c>
      <c r="B536" s="25" t="s">
        <v>370</v>
      </c>
      <c r="C536" s="25" t="s">
        <v>56</v>
      </c>
      <c r="D536" s="25" t="s">
        <v>51</v>
      </c>
      <c r="E536" s="26">
        <v>5</v>
      </c>
      <c r="F536" s="25" t="s">
        <v>57</v>
      </c>
      <c r="G536" s="27">
        <f>$H$532</f>
        <v>70</v>
      </c>
      <c r="H536" s="27">
        <f>$G536+$E536</f>
        <v>75</v>
      </c>
      <c r="I536" s="28">
        <f>WORKDAY(Settings!$D$12,INT($G536/HoursPerDay)+1,Holidays)</f>
        <v>46308</v>
      </c>
      <c r="J536" s="28">
        <f>IF($E536=0,$I536,WORKDAY(Settings!$D$12,ROUNDUP($H536/HoursPerDay,0),Holidays))</f>
        <v>46308</v>
      </c>
    </row>
    <row r="537" spans="1:10" x14ac:dyDescent="0.25">
      <c r="A537" s="25" t="s">
        <v>11</v>
      </c>
      <c r="B537" s="25" t="s">
        <v>481</v>
      </c>
      <c r="C537" s="25" t="s">
        <v>59</v>
      </c>
      <c r="D537" s="25" t="s">
        <v>51</v>
      </c>
      <c r="E537" s="26">
        <v>5</v>
      </c>
      <c r="F537" s="25" t="s">
        <v>60</v>
      </c>
      <c r="G537" s="27">
        <f>$H$533</f>
        <v>90</v>
      </c>
      <c r="H537" s="27">
        <f>$G537+$E537</f>
        <v>95</v>
      </c>
      <c r="I537" s="28">
        <f>WORKDAY(Settings!$D$12,INT($G537/HoursPerDay)+1,Holidays)</f>
        <v>46310</v>
      </c>
      <c r="J537" s="28">
        <f>IF($E537=0,$I537,WORKDAY(Settings!$D$12,ROUNDUP($H537/HoursPerDay,0),Holidays))</f>
        <v>46311</v>
      </c>
    </row>
    <row r="538" spans="1:10" x14ac:dyDescent="0.25">
      <c r="A538" s="22" t="s">
        <v>11</v>
      </c>
      <c r="B538" s="22" t="s">
        <v>482</v>
      </c>
      <c r="C538" s="22" t="s">
        <v>483</v>
      </c>
      <c r="D538" s="22" t="s">
        <v>48</v>
      </c>
      <c r="E538" s="23">
        <f>SUMIF($D539:$D541,"Task",$E539:$E541)</f>
        <v>12</v>
      </c>
      <c r="F538" s="22"/>
      <c r="G538" s="23"/>
      <c r="H538" s="23"/>
      <c r="I538" s="24">
        <f>MIN($I539:$I541)</f>
        <v>46308</v>
      </c>
      <c r="J538" s="24">
        <f>MAX($J539:$J541)</f>
        <v>46314</v>
      </c>
    </row>
    <row r="539" spans="1:10" x14ac:dyDescent="0.25">
      <c r="A539" s="25" t="s">
        <v>11</v>
      </c>
      <c r="B539" s="25" t="s">
        <v>484</v>
      </c>
      <c r="C539" s="25" t="s">
        <v>54</v>
      </c>
      <c r="D539" s="25" t="s">
        <v>51</v>
      </c>
      <c r="E539" s="26">
        <v>4</v>
      </c>
      <c r="F539" s="25" t="s">
        <v>52</v>
      </c>
      <c r="G539" s="27">
        <f>$H$535</f>
        <v>78</v>
      </c>
      <c r="H539" s="27">
        <f>$G539+$E539</f>
        <v>82</v>
      </c>
      <c r="I539" s="28">
        <f>WORKDAY(Settings!$D$12,INT($G539/HoursPerDay)+1,Holidays)</f>
        <v>46309</v>
      </c>
      <c r="J539" s="28">
        <f>IF($E539=0,$I539,WORKDAY(Settings!$D$12,ROUNDUP($H539/HoursPerDay,0),Holidays))</f>
        <v>46309</v>
      </c>
    </row>
    <row r="540" spans="1:10" x14ac:dyDescent="0.25">
      <c r="A540" s="25" t="s">
        <v>11</v>
      </c>
      <c r="B540" s="25" t="s">
        <v>485</v>
      </c>
      <c r="C540" s="25" t="s">
        <v>56</v>
      </c>
      <c r="D540" s="25" t="s">
        <v>51</v>
      </c>
      <c r="E540" s="26">
        <v>4</v>
      </c>
      <c r="F540" s="25" t="s">
        <v>57</v>
      </c>
      <c r="G540" s="27">
        <f>$H$536</f>
        <v>75</v>
      </c>
      <c r="H540" s="27">
        <f>$G540+$E540</f>
        <v>79</v>
      </c>
      <c r="I540" s="28">
        <f>WORKDAY(Settings!$D$12,INT($G540/HoursPerDay)+1,Holidays)</f>
        <v>46308</v>
      </c>
      <c r="J540" s="28">
        <f>IF($E540=0,$I540,WORKDAY(Settings!$D$12,ROUNDUP($H540/HoursPerDay,0),Holidays))</f>
        <v>46309</v>
      </c>
    </row>
    <row r="541" spans="1:10" x14ac:dyDescent="0.25">
      <c r="A541" s="25" t="s">
        <v>11</v>
      </c>
      <c r="B541" s="25" t="s">
        <v>486</v>
      </c>
      <c r="C541" s="25" t="s">
        <v>59</v>
      </c>
      <c r="D541" s="25" t="s">
        <v>51</v>
      </c>
      <c r="E541" s="26">
        <v>4</v>
      </c>
      <c r="F541" s="25" t="s">
        <v>60</v>
      </c>
      <c r="G541" s="27">
        <f>$H$537</f>
        <v>95</v>
      </c>
      <c r="H541" s="27">
        <f>$G541+$E541</f>
        <v>99</v>
      </c>
      <c r="I541" s="28">
        <f>WORKDAY(Settings!$D$12,INT($G541/HoursPerDay)+1,Holidays)</f>
        <v>46311</v>
      </c>
      <c r="J541" s="28">
        <f>IF($E541=0,$I541,WORKDAY(Settings!$D$12,ROUNDUP($H541/HoursPerDay,0),Holidays))</f>
        <v>46314</v>
      </c>
    </row>
    <row r="542" spans="1:10" x14ac:dyDescent="0.25">
      <c r="A542" s="22" t="s">
        <v>11</v>
      </c>
      <c r="B542" s="22" t="s">
        <v>487</v>
      </c>
      <c r="C542" s="22" t="s">
        <v>488</v>
      </c>
      <c r="D542" s="22" t="s">
        <v>48</v>
      </c>
      <c r="E542" s="23">
        <f>SUMIF($D543:$D545,"Task",$E543:$E545)</f>
        <v>15</v>
      </c>
      <c r="F542" s="22"/>
      <c r="G542" s="23"/>
      <c r="H542" s="23"/>
      <c r="I542" s="24">
        <f>MIN($I543:$I545)</f>
        <v>46309</v>
      </c>
      <c r="J542" s="24">
        <f>MAX($J543:$J545)</f>
        <v>46314</v>
      </c>
    </row>
    <row r="543" spans="1:10" x14ac:dyDescent="0.25">
      <c r="A543" s="25" t="s">
        <v>11</v>
      </c>
      <c r="B543" s="25" t="s">
        <v>489</v>
      </c>
      <c r="C543" s="25" t="s">
        <v>54</v>
      </c>
      <c r="D543" s="25" t="s">
        <v>51</v>
      </c>
      <c r="E543" s="26">
        <v>6</v>
      </c>
      <c r="F543" s="25" t="s">
        <v>52</v>
      </c>
      <c r="G543" s="27">
        <f>$H$539</f>
        <v>82</v>
      </c>
      <c r="H543" s="27">
        <f>$G543+$E543</f>
        <v>88</v>
      </c>
      <c r="I543" s="28">
        <f>WORKDAY(Settings!$D$12,INT($G543/HoursPerDay)+1,Holidays)</f>
        <v>46309</v>
      </c>
      <c r="J543" s="28">
        <f>IF($E543=0,$I543,WORKDAY(Settings!$D$12,ROUNDUP($H543/HoursPerDay,0),Holidays))</f>
        <v>46310</v>
      </c>
    </row>
    <row r="544" spans="1:10" x14ac:dyDescent="0.25">
      <c r="A544" s="25" t="s">
        <v>11</v>
      </c>
      <c r="B544" s="25" t="s">
        <v>490</v>
      </c>
      <c r="C544" s="25" t="s">
        <v>56</v>
      </c>
      <c r="D544" s="25" t="s">
        <v>51</v>
      </c>
      <c r="E544" s="26">
        <v>4</v>
      </c>
      <c r="F544" s="25" t="s">
        <v>57</v>
      </c>
      <c r="G544" s="27">
        <f>$H$540</f>
        <v>79</v>
      </c>
      <c r="H544" s="27">
        <f>$G544+$E544</f>
        <v>83</v>
      </c>
      <c r="I544" s="28">
        <f>WORKDAY(Settings!$D$12,INT($G544/HoursPerDay)+1,Holidays)</f>
        <v>46309</v>
      </c>
      <c r="J544" s="28">
        <f>IF($E544=0,$I544,WORKDAY(Settings!$D$12,ROUNDUP($H544/HoursPerDay,0),Holidays))</f>
        <v>46309</v>
      </c>
    </row>
    <row r="545" spans="1:10" x14ac:dyDescent="0.25">
      <c r="A545" s="25" t="s">
        <v>11</v>
      </c>
      <c r="B545" s="25" t="s">
        <v>491</v>
      </c>
      <c r="C545" s="25" t="s">
        <v>59</v>
      </c>
      <c r="D545" s="25" t="s">
        <v>51</v>
      </c>
      <c r="E545" s="26">
        <v>5</v>
      </c>
      <c r="F545" s="25" t="s">
        <v>60</v>
      </c>
      <c r="G545" s="27">
        <f>$H$541</f>
        <v>99</v>
      </c>
      <c r="H545" s="27">
        <f>$G545+$E545</f>
        <v>104</v>
      </c>
      <c r="I545" s="28">
        <f>WORKDAY(Settings!$D$12,INT($G545/HoursPerDay)+1,Holidays)</f>
        <v>46314</v>
      </c>
      <c r="J545" s="28">
        <f>IF($E545=0,$I545,WORKDAY(Settings!$D$12,ROUNDUP($H545/HoursPerDay,0),Holidays))</f>
        <v>46314</v>
      </c>
    </row>
    <row r="546" spans="1:10" x14ac:dyDescent="0.25">
      <c r="A546" s="22" t="s">
        <v>11</v>
      </c>
      <c r="B546" s="22" t="s">
        <v>492</v>
      </c>
      <c r="C546" s="22" t="s">
        <v>493</v>
      </c>
      <c r="D546" s="22" t="s">
        <v>48</v>
      </c>
      <c r="E546" s="23">
        <f>SUMIF($D547:$D549,"Task",$E547:$E549)</f>
        <v>14</v>
      </c>
      <c r="F546" s="22"/>
      <c r="G546" s="23"/>
      <c r="H546" s="23"/>
      <c r="I546" s="24">
        <f>MIN($I547:$I549)</f>
        <v>46309</v>
      </c>
      <c r="J546" s="24">
        <f>MAX($J547:$J549)</f>
        <v>46315</v>
      </c>
    </row>
    <row r="547" spans="1:10" x14ac:dyDescent="0.25">
      <c r="A547" s="25" t="s">
        <v>11</v>
      </c>
      <c r="B547" s="25" t="s">
        <v>494</v>
      </c>
      <c r="C547" s="25" t="s">
        <v>54</v>
      </c>
      <c r="D547" s="25" t="s">
        <v>51</v>
      </c>
      <c r="E547" s="26">
        <v>6</v>
      </c>
      <c r="F547" s="25" t="s">
        <v>52</v>
      </c>
      <c r="G547" s="27">
        <f>$H$543</f>
        <v>88</v>
      </c>
      <c r="H547" s="27">
        <f>$G547+$E547</f>
        <v>94</v>
      </c>
      <c r="I547" s="28">
        <f>WORKDAY(Settings!$D$12,INT($G547/HoursPerDay)+1,Holidays)</f>
        <v>46310</v>
      </c>
      <c r="J547" s="28">
        <f>IF($E547=0,$I547,WORKDAY(Settings!$D$12,ROUNDUP($H547/HoursPerDay,0),Holidays))</f>
        <v>46311</v>
      </c>
    </row>
    <row r="548" spans="1:10" x14ac:dyDescent="0.25">
      <c r="A548" s="25" t="s">
        <v>11</v>
      </c>
      <c r="B548" s="25" t="s">
        <v>495</v>
      </c>
      <c r="C548" s="25" t="s">
        <v>56</v>
      </c>
      <c r="D548" s="25" t="s">
        <v>51</v>
      </c>
      <c r="E548" s="26">
        <v>5</v>
      </c>
      <c r="F548" s="25" t="s">
        <v>57</v>
      </c>
      <c r="G548" s="27">
        <f>$H$544</f>
        <v>83</v>
      </c>
      <c r="H548" s="27">
        <f>$G548+$E548</f>
        <v>88</v>
      </c>
      <c r="I548" s="28">
        <f>WORKDAY(Settings!$D$12,INT($G548/HoursPerDay)+1,Holidays)</f>
        <v>46309</v>
      </c>
      <c r="J548" s="28">
        <f>IF($E548=0,$I548,WORKDAY(Settings!$D$12,ROUNDUP($H548/HoursPerDay,0),Holidays))</f>
        <v>46310</v>
      </c>
    </row>
    <row r="549" spans="1:10" x14ac:dyDescent="0.25">
      <c r="A549" s="25" t="s">
        <v>11</v>
      </c>
      <c r="B549" s="25" t="s">
        <v>496</v>
      </c>
      <c r="C549" s="25" t="s">
        <v>59</v>
      </c>
      <c r="D549" s="25" t="s">
        <v>51</v>
      </c>
      <c r="E549" s="26">
        <v>3</v>
      </c>
      <c r="F549" s="25" t="s">
        <v>60</v>
      </c>
      <c r="G549" s="27">
        <f>$H$545</f>
        <v>104</v>
      </c>
      <c r="H549" s="27">
        <f>$G549+$E549</f>
        <v>107</v>
      </c>
      <c r="I549" s="28">
        <f>WORKDAY(Settings!$D$12,INT($G549/HoursPerDay)+1,Holidays)</f>
        <v>46314</v>
      </c>
      <c r="J549" s="28">
        <f>IF($E549=0,$I549,WORKDAY(Settings!$D$12,ROUNDUP($H549/HoursPerDay,0),Holidays))</f>
        <v>46315</v>
      </c>
    </row>
    <row r="550" spans="1:10" x14ac:dyDescent="0.25">
      <c r="A550" s="22" t="s">
        <v>11</v>
      </c>
      <c r="B550" s="22" t="s">
        <v>497</v>
      </c>
      <c r="C550" s="22" t="s">
        <v>498</v>
      </c>
      <c r="D550" s="22" t="s">
        <v>48</v>
      </c>
      <c r="E550" s="23">
        <f>SUMIF($D551:$D553,"Task",$E551:$E553)</f>
        <v>6</v>
      </c>
      <c r="F550" s="22"/>
      <c r="G550" s="23"/>
      <c r="H550" s="23"/>
      <c r="I550" s="24">
        <f>MIN($I551:$I553)</f>
        <v>46310</v>
      </c>
      <c r="J550" s="24">
        <f>MAX($J551:$J553)</f>
        <v>46315</v>
      </c>
    </row>
    <row r="551" spans="1:10" x14ac:dyDescent="0.25">
      <c r="A551" s="25" t="s">
        <v>11</v>
      </c>
      <c r="B551" s="25" t="s">
        <v>499</v>
      </c>
      <c r="C551" s="25" t="s">
        <v>54</v>
      </c>
      <c r="D551" s="25" t="s">
        <v>51</v>
      </c>
      <c r="E551" s="26">
        <v>2</v>
      </c>
      <c r="F551" s="25" t="s">
        <v>52</v>
      </c>
      <c r="G551" s="27">
        <f>$H$547</f>
        <v>94</v>
      </c>
      <c r="H551" s="27">
        <f>$G551+$E551</f>
        <v>96</v>
      </c>
      <c r="I551" s="28">
        <f>WORKDAY(Settings!$D$12,INT($G551/HoursPerDay)+1,Holidays)</f>
        <v>46311</v>
      </c>
      <c r="J551" s="28">
        <f>IF($E551=0,$I551,WORKDAY(Settings!$D$12,ROUNDUP($H551/HoursPerDay,0),Holidays))</f>
        <v>46311</v>
      </c>
    </row>
    <row r="552" spans="1:10" x14ac:dyDescent="0.25">
      <c r="A552" s="25" t="s">
        <v>11</v>
      </c>
      <c r="B552" s="25" t="s">
        <v>500</v>
      </c>
      <c r="C552" s="25" t="s">
        <v>56</v>
      </c>
      <c r="D552" s="25" t="s">
        <v>51</v>
      </c>
      <c r="E552" s="26">
        <v>2</v>
      </c>
      <c r="F552" s="25" t="s">
        <v>57</v>
      </c>
      <c r="G552" s="27">
        <f>$H$548</f>
        <v>88</v>
      </c>
      <c r="H552" s="27">
        <f>$G552+$E552</f>
        <v>90</v>
      </c>
      <c r="I552" s="28">
        <f>WORKDAY(Settings!$D$12,INT($G552/HoursPerDay)+1,Holidays)</f>
        <v>46310</v>
      </c>
      <c r="J552" s="28">
        <f>IF($E552=0,$I552,WORKDAY(Settings!$D$12,ROUNDUP($H552/HoursPerDay,0),Holidays))</f>
        <v>46310</v>
      </c>
    </row>
    <row r="553" spans="1:10" x14ac:dyDescent="0.25">
      <c r="A553" s="25" t="s">
        <v>11</v>
      </c>
      <c r="B553" s="25" t="s">
        <v>501</v>
      </c>
      <c r="C553" s="25" t="s">
        <v>59</v>
      </c>
      <c r="D553" s="25" t="s">
        <v>51</v>
      </c>
      <c r="E553" s="26">
        <v>2</v>
      </c>
      <c r="F553" s="25" t="s">
        <v>60</v>
      </c>
      <c r="G553" s="27">
        <f>$H$549</f>
        <v>107</v>
      </c>
      <c r="H553" s="27">
        <f>$G553+$E553</f>
        <v>109</v>
      </c>
      <c r="I553" s="28">
        <f>WORKDAY(Settings!$D$12,INT($G553/HoursPerDay)+1,Holidays)</f>
        <v>46315</v>
      </c>
      <c r="J553" s="28">
        <f>IF($E553=0,$I553,WORKDAY(Settings!$D$12,ROUNDUP($H553/HoursPerDay,0),Holidays))</f>
        <v>46315</v>
      </c>
    </row>
    <row r="554" spans="1:10" x14ac:dyDescent="0.25">
      <c r="A554" s="22" t="s">
        <v>11</v>
      </c>
      <c r="B554" s="22" t="s">
        <v>502</v>
      </c>
      <c r="C554" s="22" t="s">
        <v>503</v>
      </c>
      <c r="D554" s="22" t="s">
        <v>48</v>
      </c>
      <c r="E554" s="23">
        <f>SUMIF($D555:$D557,"Task",$E555:$E557)</f>
        <v>7</v>
      </c>
      <c r="F554" s="22"/>
      <c r="G554" s="23"/>
      <c r="H554" s="23"/>
      <c r="I554" s="24">
        <f>MIN($I555:$I557)</f>
        <v>46310</v>
      </c>
      <c r="J554" s="24">
        <f>MAX($J555:$J557)</f>
        <v>46315</v>
      </c>
    </row>
    <row r="555" spans="1:10" x14ac:dyDescent="0.25">
      <c r="A555" s="25" t="s">
        <v>11</v>
      </c>
      <c r="B555" s="25" t="s">
        <v>504</v>
      </c>
      <c r="C555" s="25" t="s">
        <v>54</v>
      </c>
      <c r="D555" s="25" t="s">
        <v>51</v>
      </c>
      <c r="E555" s="26">
        <v>2</v>
      </c>
      <c r="F555" s="25" t="s">
        <v>52</v>
      </c>
      <c r="G555" s="27">
        <f>$H$551</f>
        <v>96</v>
      </c>
      <c r="H555" s="27">
        <f>$G555+$E555</f>
        <v>98</v>
      </c>
      <c r="I555" s="28">
        <f>WORKDAY(Settings!$D$12,INT($G555/HoursPerDay)+1,Holidays)</f>
        <v>46311</v>
      </c>
      <c r="J555" s="28">
        <f>IF($E555=0,$I555,WORKDAY(Settings!$D$12,ROUNDUP($H555/HoursPerDay,0),Holidays))</f>
        <v>46311</v>
      </c>
    </row>
    <row r="556" spans="1:10" x14ac:dyDescent="0.25">
      <c r="A556" s="25" t="s">
        <v>11</v>
      </c>
      <c r="B556" s="25" t="s">
        <v>505</v>
      </c>
      <c r="C556" s="25" t="s">
        <v>56</v>
      </c>
      <c r="D556" s="25" t="s">
        <v>51</v>
      </c>
      <c r="E556" s="26">
        <v>2</v>
      </c>
      <c r="F556" s="25" t="s">
        <v>57</v>
      </c>
      <c r="G556" s="27">
        <f>$H$552</f>
        <v>90</v>
      </c>
      <c r="H556" s="27">
        <f>$G556+$E556</f>
        <v>92</v>
      </c>
      <c r="I556" s="28">
        <f>WORKDAY(Settings!$D$12,INT($G556/HoursPerDay)+1,Holidays)</f>
        <v>46310</v>
      </c>
      <c r="J556" s="28">
        <f>IF($E556=0,$I556,WORKDAY(Settings!$D$12,ROUNDUP($H556/HoursPerDay,0),Holidays))</f>
        <v>46311</v>
      </c>
    </row>
    <row r="557" spans="1:10" x14ac:dyDescent="0.25">
      <c r="A557" s="25" t="s">
        <v>11</v>
      </c>
      <c r="B557" s="25" t="s">
        <v>506</v>
      </c>
      <c r="C557" s="25" t="s">
        <v>59</v>
      </c>
      <c r="D557" s="25" t="s">
        <v>51</v>
      </c>
      <c r="E557" s="26">
        <v>3</v>
      </c>
      <c r="F557" s="25" t="s">
        <v>60</v>
      </c>
      <c r="G557" s="27">
        <f>$H$553</f>
        <v>109</v>
      </c>
      <c r="H557" s="27">
        <f>$G557+$E557</f>
        <v>112</v>
      </c>
      <c r="I557" s="28">
        <f>WORKDAY(Settings!$D$12,INT($G557/HoursPerDay)+1,Holidays)</f>
        <v>46315</v>
      </c>
      <c r="J557" s="28">
        <f>IF($E557=0,$I557,WORKDAY(Settings!$D$12,ROUNDUP($H557/HoursPerDay,0),Holidays))</f>
        <v>46315</v>
      </c>
    </row>
    <row r="558" spans="1:10" x14ac:dyDescent="0.25">
      <c r="A558" s="22" t="s">
        <v>11</v>
      </c>
      <c r="B558" s="22" t="s">
        <v>507</v>
      </c>
      <c r="C558" s="22" t="s">
        <v>508</v>
      </c>
      <c r="D558" s="22" t="s">
        <v>48</v>
      </c>
      <c r="E558" s="23">
        <f>SUMIF($D559:$D561,"Task",$E559:$E561)</f>
        <v>11</v>
      </c>
      <c r="F558" s="22"/>
      <c r="G558" s="23"/>
      <c r="H558" s="23"/>
      <c r="I558" s="24">
        <f>MIN($I559:$I561)</f>
        <v>46311</v>
      </c>
      <c r="J558" s="24">
        <f>MAX($J559:$J561)</f>
        <v>46316</v>
      </c>
    </row>
    <row r="559" spans="1:10" x14ac:dyDescent="0.25">
      <c r="A559" s="25" t="s">
        <v>11</v>
      </c>
      <c r="B559" s="25" t="s">
        <v>509</v>
      </c>
      <c r="C559" s="25" t="s">
        <v>54</v>
      </c>
      <c r="D559" s="25" t="s">
        <v>51</v>
      </c>
      <c r="E559" s="26">
        <v>4</v>
      </c>
      <c r="F559" s="25" t="s">
        <v>52</v>
      </c>
      <c r="G559" s="27">
        <f>$H$555</f>
        <v>98</v>
      </c>
      <c r="H559" s="27">
        <f>$G559+$E559</f>
        <v>102</v>
      </c>
      <c r="I559" s="28">
        <f>WORKDAY(Settings!$D$12,INT($G559/HoursPerDay)+1,Holidays)</f>
        <v>46314</v>
      </c>
      <c r="J559" s="28">
        <f>IF($E559=0,$I559,WORKDAY(Settings!$D$12,ROUNDUP($H559/HoursPerDay,0),Holidays))</f>
        <v>46314</v>
      </c>
    </row>
    <row r="560" spans="1:10" x14ac:dyDescent="0.25">
      <c r="A560" s="25" t="s">
        <v>11</v>
      </c>
      <c r="B560" s="25" t="s">
        <v>510</v>
      </c>
      <c r="C560" s="25" t="s">
        <v>56</v>
      </c>
      <c r="D560" s="25" t="s">
        <v>51</v>
      </c>
      <c r="E560" s="26">
        <v>4</v>
      </c>
      <c r="F560" s="25" t="s">
        <v>57</v>
      </c>
      <c r="G560" s="27">
        <f>$H$556</f>
        <v>92</v>
      </c>
      <c r="H560" s="27">
        <f>$G560+$E560</f>
        <v>96</v>
      </c>
      <c r="I560" s="28">
        <f>WORKDAY(Settings!$D$12,INT($G560/HoursPerDay)+1,Holidays)</f>
        <v>46311</v>
      </c>
      <c r="J560" s="28">
        <f>IF($E560=0,$I560,WORKDAY(Settings!$D$12,ROUNDUP($H560/HoursPerDay,0),Holidays))</f>
        <v>46311</v>
      </c>
    </row>
    <row r="561" spans="1:10" x14ac:dyDescent="0.25">
      <c r="A561" s="25" t="s">
        <v>11</v>
      </c>
      <c r="B561" s="25" t="s">
        <v>511</v>
      </c>
      <c r="C561" s="25" t="s">
        <v>59</v>
      </c>
      <c r="D561" s="25" t="s">
        <v>51</v>
      </c>
      <c r="E561" s="26">
        <v>3</v>
      </c>
      <c r="F561" s="25" t="s">
        <v>60</v>
      </c>
      <c r="G561" s="27">
        <f>$H$557</f>
        <v>112</v>
      </c>
      <c r="H561" s="27">
        <f>$G561+$E561</f>
        <v>115</v>
      </c>
      <c r="I561" s="28">
        <f>WORKDAY(Settings!$D$12,INT($G561/HoursPerDay)+1,Holidays)</f>
        <v>46316</v>
      </c>
      <c r="J561" s="28">
        <f>IF($E561=0,$I561,WORKDAY(Settings!$D$12,ROUNDUP($H561/HoursPerDay,0),Holidays))</f>
        <v>46316</v>
      </c>
    </row>
    <row r="562" spans="1:10" x14ac:dyDescent="0.25">
      <c r="A562" s="22" t="s">
        <v>11</v>
      </c>
      <c r="B562" s="22" t="s">
        <v>512</v>
      </c>
      <c r="C562" s="22" t="s">
        <v>513</v>
      </c>
      <c r="D562" s="22" t="s">
        <v>48</v>
      </c>
      <c r="E562" s="23">
        <f>SUMIF($D563:$D565,"Task",$E563:$E565)</f>
        <v>8</v>
      </c>
      <c r="F562" s="22"/>
      <c r="G562" s="23"/>
      <c r="H562" s="23"/>
      <c r="I562" s="24">
        <f>MIN($I563:$I565)</f>
        <v>46311</v>
      </c>
      <c r="J562" s="24">
        <f>MAX($J563:$J565)</f>
        <v>46316</v>
      </c>
    </row>
    <row r="563" spans="1:10" x14ac:dyDescent="0.25">
      <c r="A563" s="25" t="s">
        <v>11</v>
      </c>
      <c r="B563" s="25" t="s">
        <v>514</v>
      </c>
      <c r="C563" s="25" t="s">
        <v>54</v>
      </c>
      <c r="D563" s="25" t="s">
        <v>51</v>
      </c>
      <c r="E563" s="26">
        <v>4</v>
      </c>
      <c r="F563" s="25" t="s">
        <v>52</v>
      </c>
      <c r="G563" s="27">
        <f>$H$559</f>
        <v>102</v>
      </c>
      <c r="H563" s="27">
        <f>$G563+$E563</f>
        <v>106</v>
      </c>
      <c r="I563" s="28">
        <f>WORKDAY(Settings!$D$12,INT($G563/HoursPerDay)+1,Holidays)</f>
        <v>46314</v>
      </c>
      <c r="J563" s="28">
        <f>IF($E563=0,$I563,WORKDAY(Settings!$D$12,ROUNDUP($H563/HoursPerDay,0),Holidays))</f>
        <v>46315</v>
      </c>
    </row>
    <row r="564" spans="1:10" x14ac:dyDescent="0.25">
      <c r="A564" s="25" t="s">
        <v>11</v>
      </c>
      <c r="B564" s="25" t="s">
        <v>515</v>
      </c>
      <c r="C564" s="25" t="s">
        <v>56</v>
      </c>
      <c r="D564" s="25" t="s">
        <v>51</v>
      </c>
      <c r="E564" s="26">
        <v>2</v>
      </c>
      <c r="F564" s="25" t="s">
        <v>57</v>
      </c>
      <c r="G564" s="27">
        <f>$H$560</f>
        <v>96</v>
      </c>
      <c r="H564" s="27">
        <f>$G564+$E564</f>
        <v>98</v>
      </c>
      <c r="I564" s="28">
        <f>WORKDAY(Settings!$D$12,INT($G564/HoursPerDay)+1,Holidays)</f>
        <v>46311</v>
      </c>
      <c r="J564" s="28">
        <f>IF($E564=0,$I564,WORKDAY(Settings!$D$12,ROUNDUP($H564/HoursPerDay,0),Holidays))</f>
        <v>46311</v>
      </c>
    </row>
    <row r="565" spans="1:10" x14ac:dyDescent="0.25">
      <c r="A565" s="25" t="s">
        <v>11</v>
      </c>
      <c r="B565" s="25" t="s">
        <v>516</v>
      </c>
      <c r="C565" s="25" t="s">
        <v>59</v>
      </c>
      <c r="D565" s="25" t="s">
        <v>51</v>
      </c>
      <c r="E565" s="26">
        <v>2</v>
      </c>
      <c r="F565" s="25" t="s">
        <v>60</v>
      </c>
      <c r="G565" s="27">
        <f>$H$561</f>
        <v>115</v>
      </c>
      <c r="H565" s="27">
        <f>$G565+$E565</f>
        <v>117</v>
      </c>
      <c r="I565" s="28">
        <f>WORKDAY(Settings!$D$12,INT($G565/HoursPerDay)+1,Holidays)</f>
        <v>46316</v>
      </c>
      <c r="J565" s="28">
        <f>IF($E565=0,$I565,WORKDAY(Settings!$D$12,ROUNDUP($H565/HoursPerDay,0),Holidays))</f>
        <v>46316</v>
      </c>
    </row>
    <row r="566" spans="1:10" x14ac:dyDescent="0.25">
      <c r="A566" s="22" t="s">
        <v>11</v>
      </c>
      <c r="B566" s="22" t="s">
        <v>517</v>
      </c>
      <c r="C566" s="22" t="s">
        <v>518</v>
      </c>
      <c r="D566" s="22" t="s">
        <v>48</v>
      </c>
      <c r="E566" s="23">
        <f>SUMIF($D567:$D569,"Task",$E567:$E569)</f>
        <v>8</v>
      </c>
      <c r="F566" s="22"/>
      <c r="G566" s="23"/>
      <c r="H566" s="23"/>
      <c r="I566" s="24">
        <f>MIN($I567:$I569)</f>
        <v>46314</v>
      </c>
      <c r="J566" s="24">
        <f>MAX($J567:$J569)</f>
        <v>46316</v>
      </c>
    </row>
    <row r="567" spans="1:10" x14ac:dyDescent="0.25">
      <c r="A567" s="25" t="s">
        <v>11</v>
      </c>
      <c r="B567" s="25" t="s">
        <v>519</v>
      </c>
      <c r="C567" s="25" t="s">
        <v>54</v>
      </c>
      <c r="D567" s="25" t="s">
        <v>51</v>
      </c>
      <c r="E567" s="26">
        <v>4</v>
      </c>
      <c r="F567" s="25" t="s">
        <v>52</v>
      </c>
      <c r="G567" s="27">
        <f>$H$563</f>
        <v>106</v>
      </c>
      <c r="H567" s="27">
        <f>$G567+$E567</f>
        <v>110</v>
      </c>
      <c r="I567" s="28">
        <f>WORKDAY(Settings!$D$12,INT($G567/HoursPerDay)+1,Holidays)</f>
        <v>46315</v>
      </c>
      <c r="J567" s="28">
        <f>IF($E567=0,$I567,WORKDAY(Settings!$D$12,ROUNDUP($H567/HoursPerDay,0),Holidays))</f>
        <v>46315</v>
      </c>
    </row>
    <row r="568" spans="1:10" x14ac:dyDescent="0.25">
      <c r="A568" s="25" t="s">
        <v>11</v>
      </c>
      <c r="B568" s="25" t="s">
        <v>520</v>
      </c>
      <c r="C568" s="25" t="s">
        <v>56</v>
      </c>
      <c r="D568" s="25" t="s">
        <v>51</v>
      </c>
      <c r="E568" s="26">
        <v>2</v>
      </c>
      <c r="F568" s="25" t="s">
        <v>57</v>
      </c>
      <c r="G568" s="27">
        <f>$H$564</f>
        <v>98</v>
      </c>
      <c r="H568" s="27">
        <f>$G568+$E568</f>
        <v>100</v>
      </c>
      <c r="I568" s="28">
        <f>WORKDAY(Settings!$D$12,INT($G568/HoursPerDay)+1,Holidays)</f>
        <v>46314</v>
      </c>
      <c r="J568" s="28">
        <f>IF($E568=0,$I568,WORKDAY(Settings!$D$12,ROUNDUP($H568/HoursPerDay,0),Holidays))</f>
        <v>46314</v>
      </c>
    </row>
    <row r="569" spans="1:10" x14ac:dyDescent="0.25">
      <c r="A569" s="25" t="s">
        <v>11</v>
      </c>
      <c r="B569" s="25" t="s">
        <v>521</v>
      </c>
      <c r="C569" s="25" t="s">
        <v>59</v>
      </c>
      <c r="D569" s="25" t="s">
        <v>51</v>
      </c>
      <c r="E569" s="26">
        <v>2</v>
      </c>
      <c r="F569" s="25" t="s">
        <v>60</v>
      </c>
      <c r="G569" s="27">
        <f>$H$565</f>
        <v>117</v>
      </c>
      <c r="H569" s="27">
        <f>$G569+$E569</f>
        <v>119</v>
      </c>
      <c r="I569" s="28">
        <f>WORKDAY(Settings!$D$12,INT($G569/HoursPerDay)+1,Holidays)</f>
        <v>46316</v>
      </c>
      <c r="J569" s="28">
        <f>IF($E569=0,$I569,WORKDAY(Settings!$D$12,ROUNDUP($H569/HoursPerDay,0),Holidays))</f>
        <v>46316</v>
      </c>
    </row>
    <row r="570" spans="1:10" x14ac:dyDescent="0.25">
      <c r="A570" s="19" t="s">
        <v>11</v>
      </c>
      <c r="B570" s="19" t="s">
        <v>249</v>
      </c>
      <c r="C570" s="19" t="s">
        <v>522</v>
      </c>
      <c r="D570" s="19" t="s">
        <v>45</v>
      </c>
      <c r="E570" s="20">
        <f>SUMIF($D571:$D595,"Task",$E571:$E595)</f>
        <v>62</v>
      </c>
      <c r="F570" s="19"/>
      <c r="G570" s="20"/>
      <c r="H570" s="20"/>
      <c r="I570" s="21">
        <f>MIN($I571:$I595)</f>
        <v>46308</v>
      </c>
      <c r="J570" s="21">
        <f>MAX($J571:$J595)</f>
        <v>46321</v>
      </c>
    </row>
    <row r="571" spans="1:10" x14ac:dyDescent="0.25">
      <c r="A571" s="22" t="s">
        <v>11</v>
      </c>
      <c r="B571" s="22" t="s">
        <v>251</v>
      </c>
      <c r="C571" s="22" t="s">
        <v>523</v>
      </c>
      <c r="D571" s="22" t="s">
        <v>48</v>
      </c>
      <c r="E571" s="23">
        <f>SUMIF($D572:$D575,"Task",$E572:$E575)</f>
        <v>20</v>
      </c>
      <c r="F571" s="22"/>
      <c r="G571" s="23"/>
      <c r="H571" s="23"/>
      <c r="I571" s="24">
        <f>MIN($I572:$I575)</f>
        <v>46314</v>
      </c>
      <c r="J571" s="24">
        <f>MAX($J572:$J575)</f>
        <v>46317</v>
      </c>
    </row>
    <row r="572" spans="1:10" x14ac:dyDescent="0.25">
      <c r="A572" s="25" t="s">
        <v>11</v>
      </c>
      <c r="B572" s="25" t="s">
        <v>253</v>
      </c>
      <c r="C572" s="25" t="s">
        <v>50</v>
      </c>
      <c r="D572" s="25" t="s">
        <v>51</v>
      </c>
      <c r="E572" s="26">
        <v>2</v>
      </c>
      <c r="F572" s="25" t="s">
        <v>52</v>
      </c>
      <c r="G572" s="27">
        <f>$H$567</f>
        <v>110</v>
      </c>
      <c r="H572" s="27">
        <f>$G572+$E572</f>
        <v>112</v>
      </c>
      <c r="I572" s="28">
        <f>WORKDAY(Settings!$D$12,INT($G572/HoursPerDay)+1,Holidays)</f>
        <v>46315</v>
      </c>
      <c r="J572" s="28">
        <f>IF($E572=0,$I572,WORKDAY(Settings!$D$12,ROUNDUP($H572/HoursPerDay,0),Holidays))</f>
        <v>46315</v>
      </c>
    </row>
    <row r="573" spans="1:10" x14ac:dyDescent="0.25">
      <c r="A573" s="25" t="s">
        <v>11</v>
      </c>
      <c r="B573" s="25" t="s">
        <v>254</v>
      </c>
      <c r="C573" s="25" t="s">
        <v>54</v>
      </c>
      <c r="D573" s="25" t="s">
        <v>51</v>
      </c>
      <c r="E573" s="26">
        <v>6</v>
      </c>
      <c r="F573" s="25" t="s">
        <v>52</v>
      </c>
      <c r="G573" s="27">
        <f>$H$572</f>
        <v>112</v>
      </c>
      <c r="H573" s="27">
        <f>$G573+$E573</f>
        <v>118</v>
      </c>
      <c r="I573" s="28">
        <f>WORKDAY(Settings!$D$12,INT($G573/HoursPerDay)+1,Holidays)</f>
        <v>46316</v>
      </c>
      <c r="J573" s="28">
        <f>IF($E573=0,$I573,WORKDAY(Settings!$D$12,ROUNDUP($H573/HoursPerDay,0),Holidays))</f>
        <v>46316</v>
      </c>
    </row>
    <row r="574" spans="1:10" x14ac:dyDescent="0.25">
      <c r="A574" s="25" t="s">
        <v>11</v>
      </c>
      <c r="B574" s="25" t="s">
        <v>255</v>
      </c>
      <c r="C574" s="25" t="s">
        <v>56</v>
      </c>
      <c r="D574" s="25" t="s">
        <v>51</v>
      </c>
      <c r="E574" s="26">
        <v>6</v>
      </c>
      <c r="F574" s="25" t="s">
        <v>57</v>
      </c>
      <c r="G574" s="27">
        <f>$H$568</f>
        <v>100</v>
      </c>
      <c r="H574" s="27">
        <f>$G574+$E574</f>
        <v>106</v>
      </c>
      <c r="I574" s="28">
        <f>WORKDAY(Settings!$D$12,INT($G574/HoursPerDay)+1,Holidays)</f>
        <v>46314</v>
      </c>
      <c r="J574" s="28">
        <f>IF($E574=0,$I574,WORKDAY(Settings!$D$12,ROUNDUP($H574/HoursPerDay,0),Holidays))</f>
        <v>46315</v>
      </c>
    </row>
    <row r="575" spans="1:10" x14ac:dyDescent="0.25">
      <c r="A575" s="25" t="s">
        <v>11</v>
      </c>
      <c r="B575" s="25" t="s">
        <v>524</v>
      </c>
      <c r="C575" s="25" t="s">
        <v>59</v>
      </c>
      <c r="D575" s="25" t="s">
        <v>51</v>
      </c>
      <c r="E575" s="26">
        <v>6</v>
      </c>
      <c r="F575" s="25" t="s">
        <v>60</v>
      </c>
      <c r="G575" s="27">
        <f>$H$569</f>
        <v>119</v>
      </c>
      <c r="H575" s="27">
        <f>$G575+$E575</f>
        <v>125</v>
      </c>
      <c r="I575" s="28">
        <f>WORKDAY(Settings!$D$12,INT($G575/HoursPerDay)+1,Holidays)</f>
        <v>46317</v>
      </c>
      <c r="J575" s="28">
        <f>IF($E575=0,$I575,WORKDAY(Settings!$D$12,ROUNDUP($H575/HoursPerDay,0),Holidays))</f>
        <v>46317</v>
      </c>
    </row>
    <row r="576" spans="1:10" x14ac:dyDescent="0.25">
      <c r="A576" s="22" t="s">
        <v>11</v>
      </c>
      <c r="B576" s="22" t="s">
        <v>256</v>
      </c>
      <c r="C576" s="22" t="s">
        <v>525</v>
      </c>
      <c r="D576" s="22" t="s">
        <v>48</v>
      </c>
      <c r="E576" s="23">
        <f>SUMIF($D577:$D580,"Task",$E577:$E580)</f>
        <v>16</v>
      </c>
      <c r="F576" s="22"/>
      <c r="G576" s="23"/>
      <c r="H576" s="23"/>
      <c r="I576" s="24">
        <f>MIN($I577:$I580)</f>
        <v>46308</v>
      </c>
      <c r="J576" s="24">
        <f>MAX($J577:$J580)</f>
        <v>46318</v>
      </c>
    </row>
    <row r="577" spans="1:10" x14ac:dyDescent="0.25">
      <c r="A577" s="25" t="s">
        <v>11</v>
      </c>
      <c r="B577" s="25" t="s">
        <v>258</v>
      </c>
      <c r="C577" s="25" t="s">
        <v>50</v>
      </c>
      <c r="D577" s="25" t="s">
        <v>51</v>
      </c>
      <c r="E577" s="26">
        <v>2</v>
      </c>
      <c r="F577" s="25" t="s">
        <v>78</v>
      </c>
      <c r="G577" s="27">
        <f>$H$523</f>
        <v>73</v>
      </c>
      <c r="H577" s="27">
        <f>$G577+$E577</f>
        <v>75</v>
      </c>
      <c r="I577" s="28">
        <f>WORKDAY(Settings!$D$12,INT($G577/HoursPerDay)+1,Holidays)</f>
        <v>46308</v>
      </c>
      <c r="J577" s="28">
        <f>IF($E577=0,$I577,WORKDAY(Settings!$D$12,ROUNDUP($H577/HoursPerDay,0),Holidays))</f>
        <v>46308</v>
      </c>
    </row>
    <row r="578" spans="1:10" x14ac:dyDescent="0.25">
      <c r="A578" s="25" t="s">
        <v>11</v>
      </c>
      <c r="B578" s="25" t="s">
        <v>259</v>
      </c>
      <c r="C578" s="25" t="s">
        <v>54</v>
      </c>
      <c r="D578" s="25" t="s">
        <v>51</v>
      </c>
      <c r="E578" s="26">
        <v>6</v>
      </c>
      <c r="F578" s="25" t="s">
        <v>52</v>
      </c>
      <c r="G578" s="27">
        <f>$H$573</f>
        <v>118</v>
      </c>
      <c r="H578" s="27">
        <f>$G578+$E578</f>
        <v>124</v>
      </c>
      <c r="I578" s="28">
        <f>WORKDAY(Settings!$D$12,INT($G578/HoursPerDay)+1,Holidays)</f>
        <v>46316</v>
      </c>
      <c r="J578" s="28">
        <f>IF($E578=0,$I578,WORKDAY(Settings!$D$12,ROUNDUP($H578/HoursPerDay,0),Holidays))</f>
        <v>46317</v>
      </c>
    </row>
    <row r="579" spans="1:10" x14ac:dyDescent="0.25">
      <c r="A579" s="25" t="s">
        <v>11</v>
      </c>
      <c r="B579" s="25" t="s">
        <v>260</v>
      </c>
      <c r="C579" s="25" t="s">
        <v>56</v>
      </c>
      <c r="D579" s="25" t="s">
        <v>51</v>
      </c>
      <c r="E579" s="26">
        <v>5</v>
      </c>
      <c r="F579" s="25" t="s">
        <v>57</v>
      </c>
      <c r="G579" s="27">
        <f>$H$574</f>
        <v>106</v>
      </c>
      <c r="H579" s="27">
        <f>$G579+$E579</f>
        <v>111</v>
      </c>
      <c r="I579" s="28">
        <f>WORKDAY(Settings!$D$12,INT($G579/HoursPerDay)+1,Holidays)</f>
        <v>46315</v>
      </c>
      <c r="J579" s="28">
        <f>IF($E579=0,$I579,WORKDAY(Settings!$D$12,ROUNDUP($H579/HoursPerDay,0),Holidays))</f>
        <v>46315</v>
      </c>
    </row>
    <row r="580" spans="1:10" x14ac:dyDescent="0.25">
      <c r="A580" s="25" t="s">
        <v>11</v>
      </c>
      <c r="B580" s="25" t="s">
        <v>526</v>
      </c>
      <c r="C580" s="25" t="s">
        <v>59</v>
      </c>
      <c r="D580" s="25" t="s">
        <v>51</v>
      </c>
      <c r="E580" s="26">
        <v>3</v>
      </c>
      <c r="F580" s="25" t="s">
        <v>60</v>
      </c>
      <c r="G580" s="27">
        <f>$H$575</f>
        <v>125</v>
      </c>
      <c r="H580" s="27">
        <f>$G580+$E580</f>
        <v>128</v>
      </c>
      <c r="I580" s="28">
        <f>WORKDAY(Settings!$D$12,INT($G580/HoursPerDay)+1,Holidays)</f>
        <v>46317</v>
      </c>
      <c r="J580" s="28">
        <f>IF($E580=0,$I580,WORKDAY(Settings!$D$12,ROUNDUP($H580/HoursPerDay,0),Holidays))</f>
        <v>46318</v>
      </c>
    </row>
    <row r="581" spans="1:10" x14ac:dyDescent="0.25">
      <c r="A581" s="22" t="s">
        <v>11</v>
      </c>
      <c r="B581" s="22" t="s">
        <v>261</v>
      </c>
      <c r="C581" s="22" t="s">
        <v>527</v>
      </c>
      <c r="D581" s="22" t="s">
        <v>48</v>
      </c>
      <c r="E581" s="23">
        <f>SUMIF($D582:$D585,"Task",$E582:$E585)</f>
        <v>9</v>
      </c>
      <c r="F581" s="22"/>
      <c r="G581" s="23"/>
      <c r="H581" s="23"/>
      <c r="I581" s="24">
        <f>MIN($I582:$I585)</f>
        <v>46308</v>
      </c>
      <c r="J581" s="24">
        <f>MAX($J582:$J585)</f>
        <v>46318</v>
      </c>
    </row>
    <row r="582" spans="1:10" x14ac:dyDescent="0.25">
      <c r="A582" s="25" t="s">
        <v>11</v>
      </c>
      <c r="B582" s="25" t="s">
        <v>263</v>
      </c>
      <c r="C582" s="25" t="s">
        <v>50</v>
      </c>
      <c r="D582" s="25" t="s">
        <v>51</v>
      </c>
      <c r="E582" s="26">
        <v>2</v>
      </c>
      <c r="F582" s="25" t="s">
        <v>78</v>
      </c>
      <c r="G582" s="27">
        <f>$H$577</f>
        <v>75</v>
      </c>
      <c r="H582" s="27">
        <f>$G582+$E582</f>
        <v>77</v>
      </c>
      <c r="I582" s="28">
        <f>WORKDAY(Settings!$D$12,INT($G582/HoursPerDay)+1,Holidays)</f>
        <v>46308</v>
      </c>
      <c r="J582" s="28">
        <f>IF($E582=0,$I582,WORKDAY(Settings!$D$12,ROUNDUP($H582/HoursPerDay,0),Holidays))</f>
        <v>46308</v>
      </c>
    </row>
    <row r="583" spans="1:10" x14ac:dyDescent="0.25">
      <c r="A583" s="25" t="s">
        <v>11</v>
      </c>
      <c r="B583" s="25" t="s">
        <v>264</v>
      </c>
      <c r="C583" s="25" t="s">
        <v>54</v>
      </c>
      <c r="D583" s="25" t="s">
        <v>51</v>
      </c>
      <c r="E583" s="26">
        <v>3</v>
      </c>
      <c r="F583" s="25" t="s">
        <v>52</v>
      </c>
      <c r="G583" s="27">
        <f>$H$578</f>
        <v>124</v>
      </c>
      <c r="H583" s="27">
        <f>$G583+$E583</f>
        <v>127</v>
      </c>
      <c r="I583" s="28">
        <f>WORKDAY(Settings!$D$12,INT($G583/HoursPerDay)+1,Holidays)</f>
        <v>46317</v>
      </c>
      <c r="J583" s="28">
        <f>IF($E583=0,$I583,WORKDAY(Settings!$D$12,ROUNDUP($H583/HoursPerDay,0),Holidays))</f>
        <v>46318</v>
      </c>
    </row>
    <row r="584" spans="1:10" x14ac:dyDescent="0.25">
      <c r="A584" s="25" t="s">
        <v>11</v>
      </c>
      <c r="B584" s="25" t="s">
        <v>265</v>
      </c>
      <c r="C584" s="25" t="s">
        <v>56</v>
      </c>
      <c r="D584" s="25" t="s">
        <v>51</v>
      </c>
      <c r="E584" s="26">
        <v>2</v>
      </c>
      <c r="F584" s="25" t="s">
        <v>57</v>
      </c>
      <c r="G584" s="27">
        <f>$H$579</f>
        <v>111</v>
      </c>
      <c r="H584" s="27">
        <f>$G584+$E584</f>
        <v>113</v>
      </c>
      <c r="I584" s="28">
        <f>WORKDAY(Settings!$D$12,INT($G584/HoursPerDay)+1,Holidays)</f>
        <v>46315</v>
      </c>
      <c r="J584" s="28">
        <f>IF($E584=0,$I584,WORKDAY(Settings!$D$12,ROUNDUP($H584/HoursPerDay,0),Holidays))</f>
        <v>46316</v>
      </c>
    </row>
    <row r="585" spans="1:10" x14ac:dyDescent="0.25">
      <c r="A585" s="25" t="s">
        <v>11</v>
      </c>
      <c r="B585" s="25" t="s">
        <v>528</v>
      </c>
      <c r="C585" s="25" t="s">
        <v>59</v>
      </c>
      <c r="D585" s="25" t="s">
        <v>51</v>
      </c>
      <c r="E585" s="26">
        <v>2</v>
      </c>
      <c r="F585" s="25" t="s">
        <v>60</v>
      </c>
      <c r="G585" s="27">
        <f>$H$580</f>
        <v>128</v>
      </c>
      <c r="H585" s="27">
        <f>$G585+$E585</f>
        <v>130</v>
      </c>
      <c r="I585" s="28">
        <f>WORKDAY(Settings!$D$12,INT($G585/HoursPerDay)+1,Holidays)</f>
        <v>46318</v>
      </c>
      <c r="J585" s="28">
        <f>IF($E585=0,$I585,WORKDAY(Settings!$D$12,ROUNDUP($H585/HoursPerDay,0),Holidays))</f>
        <v>46318</v>
      </c>
    </row>
    <row r="586" spans="1:10" x14ac:dyDescent="0.25">
      <c r="A586" s="22" t="s">
        <v>11</v>
      </c>
      <c r="B586" s="22" t="s">
        <v>381</v>
      </c>
      <c r="C586" s="22" t="s">
        <v>529</v>
      </c>
      <c r="D586" s="22" t="s">
        <v>48</v>
      </c>
      <c r="E586" s="23">
        <f>SUMIF($D587:$D590,"Task",$E587:$E590)</f>
        <v>8</v>
      </c>
      <c r="F586" s="22"/>
      <c r="G586" s="23"/>
      <c r="H586" s="23"/>
      <c r="I586" s="24">
        <f>MIN($I587:$I590)</f>
        <v>46309</v>
      </c>
      <c r="J586" s="24">
        <f>MAX($J587:$J590)</f>
        <v>46318</v>
      </c>
    </row>
    <row r="587" spans="1:10" x14ac:dyDescent="0.25">
      <c r="A587" s="25" t="s">
        <v>11</v>
      </c>
      <c r="B587" s="25" t="s">
        <v>383</v>
      </c>
      <c r="C587" s="25" t="s">
        <v>50</v>
      </c>
      <c r="D587" s="25" t="s">
        <v>51</v>
      </c>
      <c r="E587" s="26">
        <v>2</v>
      </c>
      <c r="F587" s="25" t="s">
        <v>78</v>
      </c>
      <c r="G587" s="27">
        <f>$H$582</f>
        <v>77</v>
      </c>
      <c r="H587" s="27">
        <f>$G587+$E587</f>
        <v>79</v>
      </c>
      <c r="I587" s="28">
        <f>WORKDAY(Settings!$D$12,INT($G587/HoursPerDay)+1,Holidays)</f>
        <v>46309</v>
      </c>
      <c r="J587" s="28">
        <f>IF($E587=0,$I587,WORKDAY(Settings!$D$12,ROUNDUP($H587/HoursPerDay,0),Holidays))</f>
        <v>46309</v>
      </c>
    </row>
    <row r="588" spans="1:10" x14ac:dyDescent="0.25">
      <c r="A588" s="25" t="s">
        <v>11</v>
      </c>
      <c r="B588" s="25" t="s">
        <v>384</v>
      </c>
      <c r="C588" s="25" t="s">
        <v>54</v>
      </c>
      <c r="D588" s="25" t="s">
        <v>51</v>
      </c>
      <c r="E588" s="26">
        <v>2</v>
      </c>
      <c r="F588" s="25" t="s">
        <v>52</v>
      </c>
      <c r="G588" s="27">
        <f>$H$583</f>
        <v>127</v>
      </c>
      <c r="H588" s="27">
        <f>$G588+$E588</f>
        <v>129</v>
      </c>
      <c r="I588" s="28">
        <f>WORKDAY(Settings!$D$12,INT($G588/HoursPerDay)+1,Holidays)</f>
        <v>46318</v>
      </c>
      <c r="J588" s="28">
        <f>IF($E588=0,$I588,WORKDAY(Settings!$D$12,ROUNDUP($H588/HoursPerDay,0),Holidays))</f>
        <v>46318</v>
      </c>
    </row>
    <row r="589" spans="1:10" x14ac:dyDescent="0.25">
      <c r="A589" s="25" t="s">
        <v>11</v>
      </c>
      <c r="B589" s="25" t="s">
        <v>530</v>
      </c>
      <c r="C589" s="25" t="s">
        <v>56</v>
      </c>
      <c r="D589" s="25" t="s">
        <v>51</v>
      </c>
      <c r="E589" s="26">
        <v>2</v>
      </c>
      <c r="F589" s="25" t="s">
        <v>57</v>
      </c>
      <c r="G589" s="27">
        <f>$H$584</f>
        <v>113</v>
      </c>
      <c r="H589" s="27">
        <f>$G589+$E589</f>
        <v>115</v>
      </c>
      <c r="I589" s="28">
        <f>WORKDAY(Settings!$D$12,INT($G589/HoursPerDay)+1,Holidays)</f>
        <v>46316</v>
      </c>
      <c r="J589" s="28">
        <f>IF($E589=0,$I589,WORKDAY(Settings!$D$12,ROUNDUP($H589/HoursPerDay,0),Holidays))</f>
        <v>46316</v>
      </c>
    </row>
    <row r="590" spans="1:10" x14ac:dyDescent="0.25">
      <c r="A590" s="25" t="s">
        <v>11</v>
      </c>
      <c r="B590" s="25" t="s">
        <v>531</v>
      </c>
      <c r="C590" s="25" t="s">
        <v>59</v>
      </c>
      <c r="D590" s="25" t="s">
        <v>51</v>
      </c>
      <c r="E590" s="26">
        <v>2</v>
      </c>
      <c r="F590" s="25" t="s">
        <v>60</v>
      </c>
      <c r="G590" s="27">
        <f>$H$585</f>
        <v>130</v>
      </c>
      <c r="H590" s="27">
        <f>$G590+$E590</f>
        <v>132</v>
      </c>
      <c r="I590" s="28">
        <f>WORKDAY(Settings!$D$12,INT($G590/HoursPerDay)+1,Holidays)</f>
        <v>46318</v>
      </c>
      <c r="J590" s="28">
        <f>IF($E590=0,$I590,WORKDAY(Settings!$D$12,ROUNDUP($H590/HoursPerDay,0),Holidays))</f>
        <v>46318</v>
      </c>
    </row>
    <row r="591" spans="1:10" x14ac:dyDescent="0.25">
      <c r="A591" s="22" t="s">
        <v>11</v>
      </c>
      <c r="B591" s="22" t="s">
        <v>385</v>
      </c>
      <c r="C591" s="22" t="s">
        <v>532</v>
      </c>
      <c r="D591" s="22" t="s">
        <v>48</v>
      </c>
      <c r="E591" s="23">
        <f>SUMIF($D592:$D595,"Task",$E592:$E595)</f>
        <v>9</v>
      </c>
      <c r="F591" s="22"/>
      <c r="G591" s="23"/>
      <c r="H591" s="23"/>
      <c r="I591" s="24">
        <f>MIN($I592:$I595)</f>
        <v>46309</v>
      </c>
      <c r="J591" s="24">
        <f>MAX($J592:$J595)</f>
        <v>46321</v>
      </c>
    </row>
    <row r="592" spans="1:10" x14ac:dyDescent="0.25">
      <c r="A592" s="25" t="s">
        <v>11</v>
      </c>
      <c r="B592" s="25" t="s">
        <v>387</v>
      </c>
      <c r="C592" s="25" t="s">
        <v>50</v>
      </c>
      <c r="D592" s="25" t="s">
        <v>51</v>
      </c>
      <c r="E592" s="26">
        <v>2</v>
      </c>
      <c r="F592" s="25" t="s">
        <v>78</v>
      </c>
      <c r="G592" s="27">
        <f>$H$587</f>
        <v>79</v>
      </c>
      <c r="H592" s="27">
        <f>$G592+$E592</f>
        <v>81</v>
      </c>
      <c r="I592" s="28">
        <f>WORKDAY(Settings!$D$12,INT($G592/HoursPerDay)+1,Holidays)</f>
        <v>46309</v>
      </c>
      <c r="J592" s="28">
        <f>IF($E592=0,$I592,WORKDAY(Settings!$D$12,ROUNDUP($H592/HoursPerDay,0),Holidays))</f>
        <v>46309</v>
      </c>
    </row>
    <row r="593" spans="1:10" x14ac:dyDescent="0.25">
      <c r="A593" s="25" t="s">
        <v>11</v>
      </c>
      <c r="B593" s="25" t="s">
        <v>388</v>
      </c>
      <c r="C593" s="25" t="s">
        <v>54</v>
      </c>
      <c r="D593" s="25" t="s">
        <v>51</v>
      </c>
      <c r="E593" s="26">
        <v>3</v>
      </c>
      <c r="F593" s="25" t="s">
        <v>52</v>
      </c>
      <c r="G593" s="27">
        <f>$H$588</f>
        <v>129</v>
      </c>
      <c r="H593" s="27">
        <f>$G593+$E593</f>
        <v>132</v>
      </c>
      <c r="I593" s="28">
        <f>WORKDAY(Settings!$D$12,INT($G593/HoursPerDay)+1,Holidays)</f>
        <v>46318</v>
      </c>
      <c r="J593" s="28">
        <f>IF($E593=0,$I593,WORKDAY(Settings!$D$12,ROUNDUP($H593/HoursPerDay,0),Holidays))</f>
        <v>46318</v>
      </c>
    </row>
    <row r="594" spans="1:10" x14ac:dyDescent="0.25">
      <c r="A594" s="25" t="s">
        <v>11</v>
      </c>
      <c r="B594" s="25" t="s">
        <v>533</v>
      </c>
      <c r="C594" s="25" t="s">
        <v>56</v>
      </c>
      <c r="D594" s="25" t="s">
        <v>51</v>
      </c>
      <c r="E594" s="26">
        <v>2</v>
      </c>
      <c r="F594" s="25" t="s">
        <v>57</v>
      </c>
      <c r="G594" s="27">
        <f>$H$589</f>
        <v>115</v>
      </c>
      <c r="H594" s="27">
        <f>$G594+$E594</f>
        <v>117</v>
      </c>
      <c r="I594" s="28">
        <f>WORKDAY(Settings!$D$12,INT($G594/HoursPerDay)+1,Holidays)</f>
        <v>46316</v>
      </c>
      <c r="J594" s="28">
        <f>IF($E594=0,$I594,WORKDAY(Settings!$D$12,ROUNDUP($H594/HoursPerDay,0),Holidays))</f>
        <v>46316</v>
      </c>
    </row>
    <row r="595" spans="1:10" x14ac:dyDescent="0.25">
      <c r="A595" s="25" t="s">
        <v>11</v>
      </c>
      <c r="B595" s="25" t="s">
        <v>534</v>
      </c>
      <c r="C595" s="25" t="s">
        <v>59</v>
      </c>
      <c r="D595" s="25" t="s">
        <v>51</v>
      </c>
      <c r="E595" s="26">
        <v>2</v>
      </c>
      <c r="F595" s="25" t="s">
        <v>60</v>
      </c>
      <c r="G595" s="27">
        <f>$H$590</f>
        <v>132</v>
      </c>
      <c r="H595" s="27">
        <f>$G595+$E595</f>
        <v>134</v>
      </c>
      <c r="I595" s="28">
        <f>WORKDAY(Settings!$D$12,INT($G595/HoursPerDay)+1,Holidays)</f>
        <v>46318</v>
      </c>
      <c r="J595" s="28">
        <f>IF($E595=0,$I595,WORKDAY(Settings!$D$12,ROUNDUP($H595/HoursPerDay,0),Holidays))</f>
        <v>46321</v>
      </c>
    </row>
    <row r="596" spans="1:10" x14ac:dyDescent="0.25">
      <c r="A596" s="19" t="s">
        <v>11</v>
      </c>
      <c r="B596" s="19" t="s">
        <v>266</v>
      </c>
      <c r="C596" s="19" t="s">
        <v>535</v>
      </c>
      <c r="D596" s="19" t="s">
        <v>45</v>
      </c>
      <c r="E596" s="20">
        <f>SUMIF($D597:$D608,"Task",$E597:$E608)</f>
        <v>60</v>
      </c>
      <c r="F596" s="19"/>
      <c r="G596" s="20"/>
      <c r="H596" s="20"/>
      <c r="I596" s="21">
        <f>MIN($I597:$I608)</f>
        <v>46309</v>
      </c>
      <c r="J596" s="21">
        <f>MAX($J597:$J608)</f>
        <v>46323</v>
      </c>
    </row>
    <row r="597" spans="1:10" x14ac:dyDescent="0.25">
      <c r="A597" s="22" t="s">
        <v>11</v>
      </c>
      <c r="B597" s="22" t="s">
        <v>268</v>
      </c>
      <c r="C597" s="22" t="s">
        <v>536</v>
      </c>
      <c r="D597" s="22" t="s">
        <v>48</v>
      </c>
      <c r="E597" s="23">
        <f>SUMIF($D598:$D600,"Task",$E598:$E600)</f>
        <v>20</v>
      </c>
      <c r="F597" s="22"/>
      <c r="G597" s="23"/>
      <c r="H597" s="23"/>
      <c r="I597" s="24">
        <f>MIN($I598:$I600)</f>
        <v>46309</v>
      </c>
      <c r="J597" s="24">
        <f>MAX($J598:$J600)</f>
        <v>46321</v>
      </c>
    </row>
    <row r="598" spans="1:10" x14ac:dyDescent="0.25">
      <c r="A598" s="25" t="s">
        <v>11</v>
      </c>
      <c r="B598" s="25" t="s">
        <v>271</v>
      </c>
      <c r="C598" s="25" t="s">
        <v>54</v>
      </c>
      <c r="D598" s="25" t="s">
        <v>51</v>
      </c>
      <c r="E598" s="26">
        <v>8</v>
      </c>
      <c r="F598" s="25" t="s">
        <v>78</v>
      </c>
      <c r="G598" s="27">
        <f>$H$592</f>
        <v>81</v>
      </c>
      <c r="H598" s="27">
        <f>$G598+$E598</f>
        <v>89</v>
      </c>
      <c r="I598" s="28">
        <f>WORKDAY(Settings!$D$12,INT($G598/HoursPerDay)+1,Holidays)</f>
        <v>46309</v>
      </c>
      <c r="J598" s="28">
        <f>IF($E598=0,$I598,WORKDAY(Settings!$D$12,ROUNDUP($H598/HoursPerDay,0),Holidays))</f>
        <v>46310</v>
      </c>
    </row>
    <row r="599" spans="1:10" x14ac:dyDescent="0.25">
      <c r="A599" s="25" t="s">
        <v>11</v>
      </c>
      <c r="B599" s="25" t="s">
        <v>272</v>
      </c>
      <c r="C599" s="25" t="s">
        <v>56</v>
      </c>
      <c r="D599" s="25" t="s">
        <v>51</v>
      </c>
      <c r="E599" s="26">
        <v>7</v>
      </c>
      <c r="F599" s="25" t="s">
        <v>57</v>
      </c>
      <c r="G599" s="27">
        <f>$H$594</f>
        <v>117</v>
      </c>
      <c r="H599" s="27">
        <f>$G599+$E599</f>
        <v>124</v>
      </c>
      <c r="I599" s="28">
        <f>WORKDAY(Settings!$D$12,INT($G599/HoursPerDay)+1,Holidays)</f>
        <v>46316</v>
      </c>
      <c r="J599" s="28">
        <f>IF($E599=0,$I599,WORKDAY(Settings!$D$12,ROUNDUP($H599/HoursPerDay,0),Holidays))</f>
        <v>46317</v>
      </c>
    </row>
    <row r="600" spans="1:10" x14ac:dyDescent="0.25">
      <c r="A600" s="25" t="s">
        <v>11</v>
      </c>
      <c r="B600" s="25" t="s">
        <v>395</v>
      </c>
      <c r="C600" s="25" t="s">
        <v>59</v>
      </c>
      <c r="D600" s="25" t="s">
        <v>51</v>
      </c>
      <c r="E600" s="26">
        <v>5</v>
      </c>
      <c r="F600" s="25" t="s">
        <v>60</v>
      </c>
      <c r="G600" s="27">
        <f>$H$595</f>
        <v>134</v>
      </c>
      <c r="H600" s="27">
        <f>$G600+$E600</f>
        <v>139</v>
      </c>
      <c r="I600" s="28">
        <f>WORKDAY(Settings!$D$12,INT($G600/HoursPerDay)+1,Holidays)</f>
        <v>46321</v>
      </c>
      <c r="J600" s="28">
        <f>IF($E600=0,$I600,WORKDAY(Settings!$D$12,ROUNDUP($H600/HoursPerDay,0),Holidays))</f>
        <v>46321</v>
      </c>
    </row>
    <row r="601" spans="1:10" x14ac:dyDescent="0.25">
      <c r="A601" s="22" t="s">
        <v>11</v>
      </c>
      <c r="B601" s="22" t="s">
        <v>273</v>
      </c>
      <c r="C601" s="22" t="s">
        <v>537</v>
      </c>
      <c r="D601" s="22" t="s">
        <v>48</v>
      </c>
      <c r="E601" s="23">
        <f>SUMIF($D602:$D604,"Task",$E602:$E604)</f>
        <v>20</v>
      </c>
      <c r="F601" s="22"/>
      <c r="G601" s="23"/>
      <c r="H601" s="23"/>
      <c r="I601" s="24">
        <f>MIN($I602:$I604)</f>
        <v>46310</v>
      </c>
      <c r="J601" s="24">
        <f>MAX($J602:$J604)</f>
        <v>46322</v>
      </c>
    </row>
    <row r="602" spans="1:10" x14ac:dyDescent="0.25">
      <c r="A602" s="25" t="s">
        <v>11</v>
      </c>
      <c r="B602" s="25" t="s">
        <v>276</v>
      </c>
      <c r="C602" s="25" t="s">
        <v>54</v>
      </c>
      <c r="D602" s="25" t="s">
        <v>51</v>
      </c>
      <c r="E602" s="26">
        <v>8</v>
      </c>
      <c r="F602" s="25" t="s">
        <v>78</v>
      </c>
      <c r="G602" s="27">
        <f>$H$598</f>
        <v>89</v>
      </c>
      <c r="H602" s="27">
        <f>$G602+$E602</f>
        <v>97</v>
      </c>
      <c r="I602" s="28">
        <f>WORKDAY(Settings!$D$12,INT($G602/HoursPerDay)+1,Holidays)</f>
        <v>46310</v>
      </c>
      <c r="J602" s="28">
        <f>IF($E602=0,$I602,WORKDAY(Settings!$D$12,ROUNDUP($H602/HoursPerDay,0),Holidays))</f>
        <v>46311</v>
      </c>
    </row>
    <row r="603" spans="1:10" x14ac:dyDescent="0.25">
      <c r="A603" s="25" t="s">
        <v>11</v>
      </c>
      <c r="B603" s="25" t="s">
        <v>277</v>
      </c>
      <c r="C603" s="25" t="s">
        <v>56</v>
      </c>
      <c r="D603" s="25" t="s">
        <v>51</v>
      </c>
      <c r="E603" s="26">
        <v>6</v>
      </c>
      <c r="F603" s="25" t="s">
        <v>57</v>
      </c>
      <c r="G603" s="27">
        <f>$H$599</f>
        <v>124</v>
      </c>
      <c r="H603" s="27">
        <f>$G603+$E603</f>
        <v>130</v>
      </c>
      <c r="I603" s="28">
        <f>WORKDAY(Settings!$D$12,INT($G603/HoursPerDay)+1,Holidays)</f>
        <v>46317</v>
      </c>
      <c r="J603" s="28">
        <f>IF($E603=0,$I603,WORKDAY(Settings!$D$12,ROUNDUP($H603/HoursPerDay,0),Holidays))</f>
        <v>46318</v>
      </c>
    </row>
    <row r="604" spans="1:10" x14ac:dyDescent="0.25">
      <c r="A604" s="25" t="s">
        <v>11</v>
      </c>
      <c r="B604" s="25" t="s">
        <v>538</v>
      </c>
      <c r="C604" s="25" t="s">
        <v>59</v>
      </c>
      <c r="D604" s="25" t="s">
        <v>51</v>
      </c>
      <c r="E604" s="26">
        <v>6</v>
      </c>
      <c r="F604" s="25" t="s">
        <v>60</v>
      </c>
      <c r="G604" s="27">
        <f>$H$600</f>
        <v>139</v>
      </c>
      <c r="H604" s="27">
        <f>$G604+$E604</f>
        <v>145</v>
      </c>
      <c r="I604" s="28">
        <f>WORKDAY(Settings!$D$12,INT($G604/HoursPerDay)+1,Holidays)</f>
        <v>46321</v>
      </c>
      <c r="J604" s="28">
        <f>IF($E604=0,$I604,WORKDAY(Settings!$D$12,ROUNDUP($H604/HoursPerDay,0),Holidays))</f>
        <v>46322</v>
      </c>
    </row>
    <row r="605" spans="1:10" x14ac:dyDescent="0.25">
      <c r="A605" s="22" t="s">
        <v>11</v>
      </c>
      <c r="B605" s="22" t="s">
        <v>278</v>
      </c>
      <c r="C605" s="22" t="s">
        <v>539</v>
      </c>
      <c r="D605" s="22" t="s">
        <v>48</v>
      </c>
      <c r="E605" s="23">
        <f>SUMIF($D606:$D608,"Task",$E606:$E608)</f>
        <v>20</v>
      </c>
      <c r="F605" s="22"/>
      <c r="G605" s="23"/>
      <c r="H605" s="23"/>
      <c r="I605" s="24">
        <f>MIN($I606:$I608)</f>
        <v>46311</v>
      </c>
      <c r="J605" s="24">
        <f>MAX($J606:$J608)</f>
        <v>46323</v>
      </c>
    </row>
    <row r="606" spans="1:10" x14ac:dyDescent="0.25">
      <c r="A606" s="25" t="s">
        <v>11</v>
      </c>
      <c r="B606" s="25" t="s">
        <v>281</v>
      </c>
      <c r="C606" s="25" t="s">
        <v>54</v>
      </c>
      <c r="D606" s="25" t="s">
        <v>51</v>
      </c>
      <c r="E606" s="26">
        <v>8</v>
      </c>
      <c r="F606" s="25" t="s">
        <v>78</v>
      </c>
      <c r="G606" s="27">
        <f>$H$602</f>
        <v>97</v>
      </c>
      <c r="H606" s="27">
        <f>$G606+$E606</f>
        <v>105</v>
      </c>
      <c r="I606" s="28">
        <f>WORKDAY(Settings!$D$12,INT($G606/HoursPerDay)+1,Holidays)</f>
        <v>46311</v>
      </c>
      <c r="J606" s="28">
        <f>IF($E606=0,$I606,WORKDAY(Settings!$D$12,ROUNDUP($H606/HoursPerDay,0),Holidays))</f>
        <v>46314</v>
      </c>
    </row>
    <row r="607" spans="1:10" x14ac:dyDescent="0.25">
      <c r="A607" s="25" t="s">
        <v>11</v>
      </c>
      <c r="B607" s="25" t="s">
        <v>282</v>
      </c>
      <c r="C607" s="25" t="s">
        <v>56</v>
      </c>
      <c r="D607" s="25" t="s">
        <v>51</v>
      </c>
      <c r="E607" s="26">
        <v>6</v>
      </c>
      <c r="F607" s="25" t="s">
        <v>57</v>
      </c>
      <c r="G607" s="27">
        <f>$H$603</f>
        <v>130</v>
      </c>
      <c r="H607" s="27">
        <f>$G607+$E607</f>
        <v>136</v>
      </c>
      <c r="I607" s="28">
        <f>WORKDAY(Settings!$D$12,INT($G607/HoursPerDay)+1,Holidays)</f>
        <v>46318</v>
      </c>
      <c r="J607" s="28">
        <f>IF($E607=0,$I607,WORKDAY(Settings!$D$12,ROUNDUP($H607/HoursPerDay,0),Holidays))</f>
        <v>46321</v>
      </c>
    </row>
    <row r="608" spans="1:10" x14ac:dyDescent="0.25">
      <c r="A608" s="25" t="s">
        <v>11</v>
      </c>
      <c r="B608" s="25" t="s">
        <v>540</v>
      </c>
      <c r="C608" s="25" t="s">
        <v>59</v>
      </c>
      <c r="D608" s="25" t="s">
        <v>51</v>
      </c>
      <c r="E608" s="26">
        <v>6</v>
      </c>
      <c r="F608" s="25" t="s">
        <v>60</v>
      </c>
      <c r="G608" s="27">
        <f>$H$604</f>
        <v>145</v>
      </c>
      <c r="H608" s="27">
        <f>$G608+$E608</f>
        <v>151</v>
      </c>
      <c r="I608" s="28">
        <f>WORKDAY(Settings!$D$12,INT($G608/HoursPerDay)+1,Holidays)</f>
        <v>46322</v>
      </c>
      <c r="J608" s="28">
        <f>IF($E608=0,$I608,WORKDAY(Settings!$D$12,ROUNDUP($H608/HoursPerDay,0),Holidays))</f>
        <v>46323</v>
      </c>
    </row>
    <row r="609" spans="1:10" x14ac:dyDescent="0.25">
      <c r="A609" s="19" t="s">
        <v>11</v>
      </c>
      <c r="B609" s="19" t="s">
        <v>303</v>
      </c>
      <c r="C609" s="19" t="s">
        <v>541</v>
      </c>
      <c r="D609" s="19" t="s">
        <v>45</v>
      </c>
      <c r="E609" s="20">
        <f>SUMIF($D610:$D619,"Task",$E610:$E619)</f>
        <v>34</v>
      </c>
      <c r="F609" s="19"/>
      <c r="G609" s="20"/>
      <c r="H609" s="20"/>
      <c r="I609" s="21">
        <f>MIN($I610:$I619)</f>
        <v>46315</v>
      </c>
      <c r="J609" s="21">
        <f>MAX($J610:$J619)</f>
        <v>46324</v>
      </c>
    </row>
    <row r="610" spans="1:10" x14ac:dyDescent="0.25">
      <c r="A610" s="22" t="s">
        <v>11</v>
      </c>
      <c r="B610" s="22" t="s">
        <v>310</v>
      </c>
      <c r="C610" s="22" t="s">
        <v>542</v>
      </c>
      <c r="D610" s="22" t="s">
        <v>48</v>
      </c>
      <c r="E610" s="23">
        <f>SUMIF($D611:$D614,"Task",$E611:$E614)</f>
        <v>10</v>
      </c>
      <c r="F610" s="22"/>
      <c r="G610" s="23"/>
      <c r="H610" s="23"/>
      <c r="I610" s="24">
        <f>MIN($I611:$I614)</f>
        <v>46315</v>
      </c>
      <c r="J610" s="24">
        <f>MAX($J611:$J614)</f>
        <v>46323</v>
      </c>
    </row>
    <row r="611" spans="1:10" x14ac:dyDescent="0.25">
      <c r="A611" s="25" t="s">
        <v>11</v>
      </c>
      <c r="B611" s="25" t="s">
        <v>312</v>
      </c>
      <c r="C611" s="25" t="s">
        <v>50</v>
      </c>
      <c r="D611" s="25" t="s">
        <v>51</v>
      </c>
      <c r="E611" s="26">
        <v>1</v>
      </c>
      <c r="F611" s="25" t="s">
        <v>78</v>
      </c>
      <c r="G611" s="27">
        <f>$H$606</f>
        <v>105</v>
      </c>
      <c r="H611" s="27">
        <f>$G611+$E611</f>
        <v>106</v>
      </c>
      <c r="I611" s="28">
        <f>WORKDAY(Settings!$D$12,INT($G611/HoursPerDay)+1,Holidays)</f>
        <v>46315</v>
      </c>
      <c r="J611" s="28">
        <f>IF($E611=0,$I611,WORKDAY(Settings!$D$12,ROUNDUP($H611/HoursPerDay,0),Holidays))</f>
        <v>46315</v>
      </c>
    </row>
    <row r="612" spans="1:10" x14ac:dyDescent="0.25">
      <c r="A612" s="25" t="s">
        <v>11</v>
      </c>
      <c r="B612" s="25" t="s">
        <v>313</v>
      </c>
      <c r="C612" s="25" t="s">
        <v>54</v>
      </c>
      <c r="D612" s="25" t="s">
        <v>51</v>
      </c>
      <c r="E612" s="26">
        <v>4</v>
      </c>
      <c r="F612" s="25" t="s">
        <v>52</v>
      </c>
      <c r="G612" s="27">
        <f>$H$593</f>
        <v>132</v>
      </c>
      <c r="H612" s="27">
        <f>$G612+$E612</f>
        <v>136</v>
      </c>
      <c r="I612" s="28">
        <f>WORKDAY(Settings!$D$12,INT($G612/HoursPerDay)+1,Holidays)</f>
        <v>46318</v>
      </c>
      <c r="J612" s="28">
        <f>IF($E612=0,$I612,WORKDAY(Settings!$D$12,ROUNDUP($H612/HoursPerDay,0),Holidays))</f>
        <v>46321</v>
      </c>
    </row>
    <row r="613" spans="1:10" x14ac:dyDescent="0.25">
      <c r="A613" s="25" t="s">
        <v>11</v>
      </c>
      <c r="B613" s="25" t="s">
        <v>314</v>
      </c>
      <c r="C613" s="25" t="s">
        <v>56</v>
      </c>
      <c r="D613" s="25" t="s">
        <v>51</v>
      </c>
      <c r="E613" s="26">
        <v>2</v>
      </c>
      <c r="F613" s="25" t="s">
        <v>57</v>
      </c>
      <c r="G613" s="27">
        <f>$H$607</f>
        <v>136</v>
      </c>
      <c r="H613" s="27">
        <f>$G613+$E613</f>
        <v>138</v>
      </c>
      <c r="I613" s="28">
        <f>WORKDAY(Settings!$D$12,INT($G613/HoursPerDay)+1,Holidays)</f>
        <v>46321</v>
      </c>
      <c r="J613" s="28">
        <f>IF($E613=0,$I613,WORKDAY(Settings!$D$12,ROUNDUP($H613/HoursPerDay,0),Holidays))</f>
        <v>46321</v>
      </c>
    </row>
    <row r="614" spans="1:10" x14ac:dyDescent="0.25">
      <c r="A614" s="25" t="s">
        <v>11</v>
      </c>
      <c r="B614" s="25" t="s">
        <v>543</v>
      </c>
      <c r="C614" s="25" t="s">
        <v>59</v>
      </c>
      <c r="D614" s="25" t="s">
        <v>51</v>
      </c>
      <c r="E614" s="26">
        <v>3</v>
      </c>
      <c r="F614" s="25" t="s">
        <v>60</v>
      </c>
      <c r="G614" s="27">
        <f>$H$608</f>
        <v>151</v>
      </c>
      <c r="H614" s="27">
        <f>$G614+$E614</f>
        <v>154</v>
      </c>
      <c r="I614" s="28">
        <f>WORKDAY(Settings!$D$12,INT($G614/HoursPerDay)+1,Holidays)</f>
        <v>46323</v>
      </c>
      <c r="J614" s="28">
        <f>IF($E614=0,$I614,WORKDAY(Settings!$D$12,ROUNDUP($H614/HoursPerDay,0),Holidays))</f>
        <v>46323</v>
      </c>
    </row>
    <row r="615" spans="1:10" x14ac:dyDescent="0.25">
      <c r="A615" s="22" t="s">
        <v>11</v>
      </c>
      <c r="B615" s="22" t="s">
        <v>320</v>
      </c>
      <c r="C615" s="22" t="s">
        <v>544</v>
      </c>
      <c r="D615" s="22" t="s">
        <v>48</v>
      </c>
      <c r="E615" s="23">
        <f>SUMIF($D616:$D619,"Task",$E616:$E619)</f>
        <v>24</v>
      </c>
      <c r="F615" s="22"/>
      <c r="G615" s="23"/>
      <c r="H615" s="23"/>
      <c r="I615" s="24">
        <f>MIN($I616:$I619)</f>
        <v>46315</v>
      </c>
      <c r="J615" s="24">
        <f>MAX($J616:$J619)</f>
        <v>46324</v>
      </c>
    </row>
    <row r="616" spans="1:10" x14ac:dyDescent="0.25">
      <c r="A616" s="25" t="s">
        <v>11</v>
      </c>
      <c r="B616" s="25" t="s">
        <v>322</v>
      </c>
      <c r="C616" s="25" t="s">
        <v>50</v>
      </c>
      <c r="D616" s="25" t="s">
        <v>51</v>
      </c>
      <c r="E616" s="26">
        <v>4</v>
      </c>
      <c r="F616" s="25" t="s">
        <v>78</v>
      </c>
      <c r="G616" s="27">
        <f>$H$611</f>
        <v>106</v>
      </c>
      <c r="H616" s="27">
        <f>$G616+$E616</f>
        <v>110</v>
      </c>
      <c r="I616" s="28">
        <f>WORKDAY(Settings!$D$12,INT($G616/HoursPerDay)+1,Holidays)</f>
        <v>46315</v>
      </c>
      <c r="J616" s="28">
        <f>IF($E616=0,$I616,WORKDAY(Settings!$D$12,ROUNDUP($H616/HoursPerDay,0),Holidays))</f>
        <v>46315</v>
      </c>
    </row>
    <row r="617" spans="1:10" x14ac:dyDescent="0.25">
      <c r="A617" s="25" t="s">
        <v>11</v>
      </c>
      <c r="B617" s="25" t="s">
        <v>323</v>
      </c>
      <c r="C617" s="25" t="s">
        <v>54</v>
      </c>
      <c r="D617" s="25" t="s">
        <v>51</v>
      </c>
      <c r="E617" s="26">
        <v>8</v>
      </c>
      <c r="F617" s="25" t="s">
        <v>52</v>
      </c>
      <c r="G617" s="27">
        <f>$H$612</f>
        <v>136</v>
      </c>
      <c r="H617" s="27">
        <f>$G617+$E617</f>
        <v>144</v>
      </c>
      <c r="I617" s="28">
        <f>WORKDAY(Settings!$D$12,INT($G617/HoursPerDay)+1,Holidays)</f>
        <v>46321</v>
      </c>
      <c r="J617" s="28">
        <f>IF($E617=0,$I617,WORKDAY(Settings!$D$12,ROUNDUP($H617/HoursPerDay,0),Holidays))</f>
        <v>46322</v>
      </c>
    </row>
    <row r="618" spans="1:10" x14ac:dyDescent="0.25">
      <c r="A618" s="25" t="s">
        <v>11</v>
      </c>
      <c r="B618" s="25" t="s">
        <v>324</v>
      </c>
      <c r="C618" s="25" t="s">
        <v>56</v>
      </c>
      <c r="D618" s="25" t="s">
        <v>51</v>
      </c>
      <c r="E618" s="26">
        <v>7</v>
      </c>
      <c r="F618" s="25" t="s">
        <v>52</v>
      </c>
      <c r="G618" s="27">
        <f>$H$617</f>
        <v>144</v>
      </c>
      <c r="H618" s="27">
        <f>$G618+$E618</f>
        <v>151</v>
      </c>
      <c r="I618" s="28">
        <f>WORKDAY(Settings!$D$12,INT($G618/HoursPerDay)+1,Holidays)</f>
        <v>46322</v>
      </c>
      <c r="J618" s="28">
        <f>IF($E618=0,$I618,WORKDAY(Settings!$D$12,ROUNDUP($H618/HoursPerDay,0),Holidays))</f>
        <v>46323</v>
      </c>
    </row>
    <row r="619" spans="1:10" x14ac:dyDescent="0.25">
      <c r="A619" s="25" t="s">
        <v>11</v>
      </c>
      <c r="B619" s="25" t="s">
        <v>545</v>
      </c>
      <c r="C619" s="25" t="s">
        <v>59</v>
      </c>
      <c r="D619" s="25" t="s">
        <v>51</v>
      </c>
      <c r="E619" s="26">
        <v>5</v>
      </c>
      <c r="F619" s="25" t="s">
        <v>60</v>
      </c>
      <c r="G619" s="27">
        <f>$H$614</f>
        <v>154</v>
      </c>
      <c r="H619" s="27">
        <f>$G619+$E619</f>
        <v>159</v>
      </c>
      <c r="I619" s="28">
        <f>WORKDAY(Settings!$D$12,INT($G619/HoursPerDay)+1,Holidays)</f>
        <v>46324</v>
      </c>
      <c r="J619" s="28">
        <f>IF($E619=0,$I619,WORKDAY(Settings!$D$12,ROUNDUP($H619/HoursPerDay,0),Holidays))</f>
        <v>46324</v>
      </c>
    </row>
    <row r="620" spans="1:10" x14ac:dyDescent="0.25">
      <c r="A620" s="16" t="s">
        <v>12</v>
      </c>
      <c r="B620" s="16" t="s">
        <v>40</v>
      </c>
      <c r="C620" s="16" t="s">
        <v>546</v>
      </c>
      <c r="D620" s="16" t="s">
        <v>42</v>
      </c>
      <c r="E620" s="17">
        <f>SUMIF($D621:$D1009,"Task",$E621:$E1009)</f>
        <v>1045</v>
      </c>
      <c r="F620" s="16"/>
      <c r="G620" s="17"/>
      <c r="H620" s="17"/>
      <c r="I620" s="18">
        <f>MIN($I621:$I1009)</f>
        <v>46336</v>
      </c>
      <c r="J620" s="18">
        <f>MAX($J621:$J1009)</f>
        <v>46391</v>
      </c>
    </row>
    <row r="621" spans="1:10" x14ac:dyDescent="0.25">
      <c r="A621" s="19" t="s">
        <v>12</v>
      </c>
      <c r="B621" s="19" t="s">
        <v>43</v>
      </c>
      <c r="C621" s="19" t="s">
        <v>547</v>
      </c>
      <c r="D621" s="19" t="s">
        <v>45</v>
      </c>
      <c r="E621" s="20">
        <f>SUMIF($D622:$D680,"Task",$E622:$E680)</f>
        <v>176</v>
      </c>
      <c r="F621" s="19"/>
      <c r="G621" s="20"/>
      <c r="H621" s="20"/>
      <c r="I621" s="21">
        <f>MIN($I622:$I680)</f>
        <v>46336</v>
      </c>
      <c r="J621" s="21">
        <f>MAX($J622:$J680)</f>
        <v>46352</v>
      </c>
    </row>
    <row r="622" spans="1:10" x14ac:dyDescent="0.25">
      <c r="A622" s="22" t="s">
        <v>12</v>
      </c>
      <c r="B622" s="22" t="s">
        <v>46</v>
      </c>
      <c r="C622" s="22" t="s">
        <v>548</v>
      </c>
      <c r="D622" s="22" t="s">
        <v>48</v>
      </c>
      <c r="E622" s="23">
        <f>SUMIF($D623:$D625,"Task",$E623:$E625)</f>
        <v>15</v>
      </c>
      <c r="F622" s="22"/>
      <c r="G622" s="23"/>
      <c r="H622" s="23"/>
      <c r="I622" s="24">
        <f>MIN($I623:$I625)</f>
        <v>46336</v>
      </c>
      <c r="J622" s="24">
        <f>MAX($J623:$J625)</f>
        <v>46337</v>
      </c>
    </row>
    <row r="623" spans="1:10" x14ac:dyDescent="0.25">
      <c r="A623" s="25" t="s">
        <v>12</v>
      </c>
      <c r="B623" s="25" t="s">
        <v>49</v>
      </c>
      <c r="C623" s="25" t="s">
        <v>50</v>
      </c>
      <c r="D623" s="25" t="s">
        <v>51</v>
      </c>
      <c r="E623" s="26">
        <v>3</v>
      </c>
      <c r="F623" s="25" t="s">
        <v>78</v>
      </c>
      <c r="G623" s="27">
        <f>0</f>
        <v>0</v>
      </c>
      <c r="H623" s="27">
        <f>$G623+$E623</f>
        <v>3</v>
      </c>
      <c r="I623" s="28">
        <f>WORKDAY(Settings!$D$13,INT($G623/HoursPerDay)+1,Holidays)</f>
        <v>46336</v>
      </c>
      <c r="J623" s="28">
        <f>IF($E623=0,$I623,WORKDAY(Settings!$D$13,ROUNDUP($H623/HoursPerDay,0),Holidays))</f>
        <v>46336</v>
      </c>
    </row>
    <row r="624" spans="1:10" x14ac:dyDescent="0.25">
      <c r="A624" s="25" t="s">
        <v>12</v>
      </c>
      <c r="B624" s="25" t="s">
        <v>53</v>
      </c>
      <c r="C624" s="25" t="s">
        <v>54</v>
      </c>
      <c r="D624" s="25" t="s">
        <v>51</v>
      </c>
      <c r="E624" s="26">
        <v>6</v>
      </c>
      <c r="F624" s="25" t="s">
        <v>78</v>
      </c>
      <c r="G624" s="27">
        <f>$H$623</f>
        <v>3</v>
      </c>
      <c r="H624" s="27">
        <f>$G624+$E624</f>
        <v>9</v>
      </c>
      <c r="I624" s="28">
        <f>WORKDAY(Settings!$D$13,INT($G624/HoursPerDay)+1,Holidays)</f>
        <v>46336</v>
      </c>
      <c r="J624" s="28">
        <f>IF($E624=0,$I624,WORKDAY(Settings!$D$13,ROUNDUP($H624/HoursPerDay,0),Holidays))</f>
        <v>46337</v>
      </c>
    </row>
    <row r="625" spans="1:10" x14ac:dyDescent="0.25">
      <c r="A625" s="25" t="s">
        <v>12</v>
      </c>
      <c r="B625" s="25" t="s">
        <v>55</v>
      </c>
      <c r="C625" s="25" t="s">
        <v>56</v>
      </c>
      <c r="D625" s="25" t="s">
        <v>51</v>
      </c>
      <c r="E625" s="26">
        <v>6</v>
      </c>
      <c r="F625" s="25" t="s">
        <v>57</v>
      </c>
      <c r="G625" s="27">
        <f>0</f>
        <v>0</v>
      </c>
      <c r="H625" s="27">
        <f>$G625+$E625</f>
        <v>6</v>
      </c>
      <c r="I625" s="28">
        <f>WORKDAY(Settings!$D$13,INT($G625/HoursPerDay)+1,Holidays)</f>
        <v>46336</v>
      </c>
      <c r="J625" s="28">
        <f>IF($E625=0,$I625,WORKDAY(Settings!$D$13,ROUNDUP($H625/HoursPerDay,0),Holidays))</f>
        <v>46336</v>
      </c>
    </row>
    <row r="626" spans="1:10" x14ac:dyDescent="0.25">
      <c r="A626" s="22" t="s">
        <v>12</v>
      </c>
      <c r="B626" s="22" t="s">
        <v>61</v>
      </c>
      <c r="C626" s="22" t="s">
        <v>549</v>
      </c>
      <c r="D626" s="22" t="s">
        <v>48</v>
      </c>
      <c r="E626" s="23">
        <f>SUMIF($D627:$D628,"Task",$E627:$E628)</f>
        <v>12</v>
      </c>
      <c r="F626" s="22"/>
      <c r="G626" s="23"/>
      <c r="H626" s="23"/>
      <c r="I626" s="24">
        <f>MIN($I627:$I628)</f>
        <v>46336</v>
      </c>
      <c r="J626" s="24">
        <f>MAX($J627:$J628)</f>
        <v>46338</v>
      </c>
    </row>
    <row r="627" spans="1:10" x14ac:dyDescent="0.25">
      <c r="A627" s="25" t="s">
        <v>12</v>
      </c>
      <c r="B627" s="25" t="s">
        <v>63</v>
      </c>
      <c r="C627" s="25" t="s">
        <v>54</v>
      </c>
      <c r="D627" s="25" t="s">
        <v>51</v>
      </c>
      <c r="E627" s="26">
        <v>6</v>
      </c>
      <c r="F627" s="25" t="s">
        <v>78</v>
      </c>
      <c r="G627" s="27">
        <f>$H$624</f>
        <v>9</v>
      </c>
      <c r="H627" s="27">
        <f>$G627+$E627</f>
        <v>15</v>
      </c>
      <c r="I627" s="28">
        <f>WORKDAY(Settings!$D$13,INT($G627/HoursPerDay)+1,Holidays)</f>
        <v>46337</v>
      </c>
      <c r="J627" s="28">
        <f>IF($E627=0,$I627,WORKDAY(Settings!$D$13,ROUNDUP($H627/HoursPerDay,0),Holidays))</f>
        <v>46338</v>
      </c>
    </row>
    <row r="628" spans="1:10" x14ac:dyDescent="0.25">
      <c r="A628" s="25" t="s">
        <v>12</v>
      </c>
      <c r="B628" s="25" t="s">
        <v>64</v>
      </c>
      <c r="C628" s="25" t="s">
        <v>56</v>
      </c>
      <c r="D628" s="25" t="s">
        <v>51</v>
      </c>
      <c r="E628" s="26">
        <v>6</v>
      </c>
      <c r="F628" s="25" t="s">
        <v>57</v>
      </c>
      <c r="G628" s="27">
        <f>$H$625</f>
        <v>6</v>
      </c>
      <c r="H628" s="27">
        <f>$G628+$E628</f>
        <v>12</v>
      </c>
      <c r="I628" s="28">
        <f>WORKDAY(Settings!$D$13,INT($G628/HoursPerDay)+1,Holidays)</f>
        <v>46336</v>
      </c>
      <c r="J628" s="28">
        <f>IF($E628=0,$I628,WORKDAY(Settings!$D$13,ROUNDUP($H628/HoursPerDay,0),Holidays))</f>
        <v>46337</v>
      </c>
    </row>
    <row r="629" spans="1:10" x14ac:dyDescent="0.25">
      <c r="A629" s="22" t="s">
        <v>12</v>
      </c>
      <c r="B629" s="22" t="s">
        <v>67</v>
      </c>
      <c r="C629" s="22" t="s">
        <v>550</v>
      </c>
      <c r="D629" s="22" t="s">
        <v>48</v>
      </c>
      <c r="E629" s="23">
        <f>SUMIF($D630:$D631,"Task",$E630:$E631)</f>
        <v>8</v>
      </c>
      <c r="F629" s="22"/>
      <c r="G629" s="23"/>
      <c r="H629" s="23"/>
      <c r="I629" s="24">
        <f>MIN($I630:$I631)</f>
        <v>46337</v>
      </c>
      <c r="J629" s="24">
        <f>MAX($J630:$J631)</f>
        <v>46338</v>
      </c>
    </row>
    <row r="630" spans="1:10" x14ac:dyDescent="0.25">
      <c r="A630" s="25" t="s">
        <v>12</v>
      </c>
      <c r="B630" s="25" t="s">
        <v>69</v>
      </c>
      <c r="C630" s="25" t="s">
        <v>54</v>
      </c>
      <c r="D630" s="25" t="s">
        <v>51</v>
      </c>
      <c r="E630" s="26">
        <v>4</v>
      </c>
      <c r="F630" s="25" t="s">
        <v>78</v>
      </c>
      <c r="G630" s="27">
        <f>$H$627</f>
        <v>15</v>
      </c>
      <c r="H630" s="27">
        <f>$G630+$E630</f>
        <v>19</v>
      </c>
      <c r="I630" s="28">
        <f>WORKDAY(Settings!$D$13,INT($G630/HoursPerDay)+1,Holidays)</f>
        <v>46338</v>
      </c>
      <c r="J630" s="28">
        <f>IF($E630=0,$I630,WORKDAY(Settings!$D$13,ROUNDUP($H630/HoursPerDay,0),Holidays))</f>
        <v>46338</v>
      </c>
    </row>
    <row r="631" spans="1:10" x14ac:dyDescent="0.25">
      <c r="A631" s="25" t="s">
        <v>12</v>
      </c>
      <c r="B631" s="25" t="s">
        <v>70</v>
      </c>
      <c r="C631" s="25" t="s">
        <v>56</v>
      </c>
      <c r="D631" s="25" t="s">
        <v>51</v>
      </c>
      <c r="E631" s="26">
        <v>4</v>
      </c>
      <c r="F631" s="25" t="s">
        <v>57</v>
      </c>
      <c r="G631" s="27">
        <f>$H$628</f>
        <v>12</v>
      </c>
      <c r="H631" s="27">
        <f>$G631+$E631</f>
        <v>16</v>
      </c>
      <c r="I631" s="28">
        <f>WORKDAY(Settings!$D$13,INT($G631/HoursPerDay)+1,Holidays)</f>
        <v>46337</v>
      </c>
      <c r="J631" s="28">
        <f>IF($E631=0,$I631,WORKDAY(Settings!$D$13,ROUNDUP($H631/HoursPerDay,0),Holidays))</f>
        <v>46338</v>
      </c>
    </row>
    <row r="632" spans="1:10" x14ac:dyDescent="0.25">
      <c r="A632" s="22" t="s">
        <v>12</v>
      </c>
      <c r="B632" s="22" t="s">
        <v>330</v>
      </c>
      <c r="C632" s="22" t="s">
        <v>551</v>
      </c>
      <c r="D632" s="22" t="s">
        <v>48</v>
      </c>
      <c r="E632" s="23">
        <f>SUMIF($D633:$D634,"Task",$E633:$E634)</f>
        <v>8</v>
      </c>
      <c r="F632" s="22"/>
      <c r="G632" s="23"/>
      <c r="H632" s="23"/>
      <c r="I632" s="24">
        <f>MIN($I633:$I634)</f>
        <v>46338</v>
      </c>
      <c r="J632" s="24">
        <f>MAX($J633:$J634)</f>
        <v>46339</v>
      </c>
    </row>
    <row r="633" spans="1:10" x14ac:dyDescent="0.25">
      <c r="A633" s="25" t="s">
        <v>12</v>
      </c>
      <c r="B633" s="25" t="s">
        <v>332</v>
      </c>
      <c r="C633" s="25" t="s">
        <v>54</v>
      </c>
      <c r="D633" s="25" t="s">
        <v>51</v>
      </c>
      <c r="E633" s="26">
        <v>4</v>
      </c>
      <c r="F633" s="25" t="s">
        <v>78</v>
      </c>
      <c r="G633" s="27">
        <f>$H$630</f>
        <v>19</v>
      </c>
      <c r="H633" s="27">
        <f>$G633+$E633</f>
        <v>23</v>
      </c>
      <c r="I633" s="28">
        <f>WORKDAY(Settings!$D$13,INT($G633/HoursPerDay)+1,Holidays)</f>
        <v>46338</v>
      </c>
      <c r="J633" s="28">
        <f>IF($E633=0,$I633,WORKDAY(Settings!$D$13,ROUNDUP($H633/HoursPerDay,0),Holidays))</f>
        <v>46339</v>
      </c>
    </row>
    <row r="634" spans="1:10" x14ac:dyDescent="0.25">
      <c r="A634" s="25" t="s">
        <v>12</v>
      </c>
      <c r="B634" s="25" t="s">
        <v>333</v>
      </c>
      <c r="C634" s="25" t="s">
        <v>56</v>
      </c>
      <c r="D634" s="25" t="s">
        <v>51</v>
      </c>
      <c r="E634" s="26">
        <v>4</v>
      </c>
      <c r="F634" s="25" t="s">
        <v>57</v>
      </c>
      <c r="G634" s="27">
        <f>$H$631</f>
        <v>16</v>
      </c>
      <c r="H634" s="27">
        <f>$G634+$E634</f>
        <v>20</v>
      </c>
      <c r="I634" s="28">
        <f>WORKDAY(Settings!$D$13,INT($G634/HoursPerDay)+1,Holidays)</f>
        <v>46338</v>
      </c>
      <c r="J634" s="28">
        <f>IF($E634=0,$I634,WORKDAY(Settings!$D$13,ROUNDUP($H634/HoursPerDay,0),Holidays))</f>
        <v>46338</v>
      </c>
    </row>
    <row r="635" spans="1:10" x14ac:dyDescent="0.25">
      <c r="A635" s="22" t="s">
        <v>12</v>
      </c>
      <c r="B635" s="22" t="s">
        <v>438</v>
      </c>
      <c r="C635" s="22" t="s">
        <v>552</v>
      </c>
      <c r="D635" s="22" t="s">
        <v>48</v>
      </c>
      <c r="E635" s="23">
        <f>SUMIF($D636:$D637,"Task",$E636:$E637)</f>
        <v>8</v>
      </c>
      <c r="F635" s="22"/>
      <c r="G635" s="23"/>
      <c r="H635" s="23"/>
      <c r="I635" s="24">
        <f>MIN($I636:$I637)</f>
        <v>46338</v>
      </c>
      <c r="J635" s="24">
        <f>MAX($J636:$J637)</f>
        <v>46339</v>
      </c>
    </row>
    <row r="636" spans="1:10" x14ac:dyDescent="0.25">
      <c r="A636" s="25" t="s">
        <v>12</v>
      </c>
      <c r="B636" s="25" t="s">
        <v>553</v>
      </c>
      <c r="C636" s="25" t="s">
        <v>54</v>
      </c>
      <c r="D636" s="25" t="s">
        <v>51</v>
      </c>
      <c r="E636" s="26">
        <v>4</v>
      </c>
      <c r="F636" s="25" t="s">
        <v>78</v>
      </c>
      <c r="G636" s="27">
        <f>$H$633</f>
        <v>23</v>
      </c>
      <c r="H636" s="27">
        <f>$G636+$E636</f>
        <v>27</v>
      </c>
      <c r="I636" s="28">
        <f>WORKDAY(Settings!$D$13,INT($G636/HoursPerDay)+1,Holidays)</f>
        <v>46339</v>
      </c>
      <c r="J636" s="28">
        <f>IF($E636=0,$I636,WORKDAY(Settings!$D$13,ROUNDUP($H636/HoursPerDay,0),Holidays))</f>
        <v>46339</v>
      </c>
    </row>
    <row r="637" spans="1:10" x14ac:dyDescent="0.25">
      <c r="A637" s="25" t="s">
        <v>12</v>
      </c>
      <c r="B637" s="25" t="s">
        <v>440</v>
      </c>
      <c r="C637" s="25" t="s">
        <v>56</v>
      </c>
      <c r="D637" s="25" t="s">
        <v>51</v>
      </c>
      <c r="E637" s="26">
        <v>4</v>
      </c>
      <c r="F637" s="25" t="s">
        <v>57</v>
      </c>
      <c r="G637" s="27">
        <f>$H$634</f>
        <v>20</v>
      </c>
      <c r="H637" s="27">
        <f>$G637+$E637</f>
        <v>24</v>
      </c>
      <c r="I637" s="28">
        <f>WORKDAY(Settings!$D$13,INT($G637/HoursPerDay)+1,Holidays)</f>
        <v>46338</v>
      </c>
      <c r="J637" s="28">
        <f>IF($E637=0,$I637,WORKDAY(Settings!$D$13,ROUNDUP($H637/HoursPerDay,0),Holidays))</f>
        <v>46339</v>
      </c>
    </row>
    <row r="638" spans="1:10" x14ac:dyDescent="0.25">
      <c r="A638" s="22" t="s">
        <v>12</v>
      </c>
      <c r="B638" s="22" t="s">
        <v>554</v>
      </c>
      <c r="C638" s="22" t="s">
        <v>555</v>
      </c>
      <c r="D638" s="22" t="s">
        <v>48</v>
      </c>
      <c r="E638" s="23">
        <f>SUMIF($D639:$D641,"Task",$E639:$E641)</f>
        <v>10</v>
      </c>
      <c r="F638" s="22"/>
      <c r="G638" s="23"/>
      <c r="H638" s="23"/>
      <c r="I638" s="24">
        <f>MIN($I639:$I641)</f>
        <v>46339</v>
      </c>
      <c r="J638" s="24">
        <f>MAX($J639:$J641)</f>
        <v>46342</v>
      </c>
    </row>
    <row r="639" spans="1:10" x14ac:dyDescent="0.25">
      <c r="A639" s="25" t="s">
        <v>12</v>
      </c>
      <c r="B639" s="25" t="s">
        <v>556</v>
      </c>
      <c r="C639" s="25" t="s">
        <v>50</v>
      </c>
      <c r="D639" s="25" t="s">
        <v>51</v>
      </c>
      <c r="E639" s="26">
        <v>2</v>
      </c>
      <c r="F639" s="25" t="s">
        <v>78</v>
      </c>
      <c r="G639" s="27">
        <f>$H$636</f>
        <v>27</v>
      </c>
      <c r="H639" s="27">
        <f>$G639+$E639</f>
        <v>29</v>
      </c>
      <c r="I639" s="28">
        <f>WORKDAY(Settings!$D$13,INT($G639/HoursPerDay)+1,Holidays)</f>
        <v>46339</v>
      </c>
      <c r="J639" s="28">
        <f>IF($E639=0,$I639,WORKDAY(Settings!$D$13,ROUNDUP($H639/HoursPerDay,0),Holidays))</f>
        <v>46342</v>
      </c>
    </row>
    <row r="640" spans="1:10" x14ac:dyDescent="0.25">
      <c r="A640" s="25" t="s">
        <v>12</v>
      </c>
      <c r="B640" s="25" t="s">
        <v>557</v>
      </c>
      <c r="C640" s="25" t="s">
        <v>54</v>
      </c>
      <c r="D640" s="25" t="s">
        <v>51</v>
      </c>
      <c r="E640" s="26">
        <v>4</v>
      </c>
      <c r="F640" s="25" t="s">
        <v>78</v>
      </c>
      <c r="G640" s="27">
        <f>$H$639</f>
        <v>29</v>
      </c>
      <c r="H640" s="27">
        <f>$G640+$E640</f>
        <v>33</v>
      </c>
      <c r="I640" s="28">
        <f>WORKDAY(Settings!$D$13,INT($G640/HoursPerDay)+1,Holidays)</f>
        <v>46342</v>
      </c>
      <c r="J640" s="28">
        <f>IF($E640=0,$I640,WORKDAY(Settings!$D$13,ROUNDUP($H640/HoursPerDay,0),Holidays))</f>
        <v>46342</v>
      </c>
    </row>
    <row r="641" spans="1:10" x14ac:dyDescent="0.25">
      <c r="A641" s="25" t="s">
        <v>12</v>
      </c>
      <c r="B641" s="25" t="s">
        <v>558</v>
      </c>
      <c r="C641" s="25" t="s">
        <v>56</v>
      </c>
      <c r="D641" s="25" t="s">
        <v>51</v>
      </c>
      <c r="E641" s="26">
        <v>4</v>
      </c>
      <c r="F641" s="25" t="s">
        <v>57</v>
      </c>
      <c r="G641" s="27">
        <f>$H$637</f>
        <v>24</v>
      </c>
      <c r="H641" s="27">
        <f>$G641+$E641</f>
        <v>28</v>
      </c>
      <c r="I641" s="28">
        <f>WORKDAY(Settings!$D$13,INT($G641/HoursPerDay)+1,Holidays)</f>
        <v>46339</v>
      </c>
      <c r="J641" s="28">
        <f>IF($E641=0,$I641,WORKDAY(Settings!$D$13,ROUNDUP($H641/HoursPerDay,0),Holidays))</f>
        <v>46339</v>
      </c>
    </row>
    <row r="642" spans="1:10" x14ac:dyDescent="0.25">
      <c r="A642" s="22" t="s">
        <v>12</v>
      </c>
      <c r="B642" s="22" t="s">
        <v>443</v>
      </c>
      <c r="C642" s="22" t="s">
        <v>559</v>
      </c>
      <c r="D642" s="22" t="s">
        <v>48</v>
      </c>
      <c r="E642" s="23">
        <f>SUMIF($D643:$D645,"Task",$E643:$E645)</f>
        <v>15</v>
      </c>
      <c r="F642" s="22"/>
      <c r="G642" s="23"/>
      <c r="H642" s="23"/>
      <c r="I642" s="24">
        <f>MIN($I643:$I645)</f>
        <v>46336</v>
      </c>
      <c r="J642" s="24">
        <f>MAX($J643:$J645)</f>
        <v>46343</v>
      </c>
    </row>
    <row r="643" spans="1:10" x14ac:dyDescent="0.25">
      <c r="A643" s="25" t="s">
        <v>12</v>
      </c>
      <c r="B643" s="25" t="s">
        <v>560</v>
      </c>
      <c r="C643" s="25" t="s">
        <v>50</v>
      </c>
      <c r="D643" s="25" t="s">
        <v>51</v>
      </c>
      <c r="E643" s="26">
        <v>3</v>
      </c>
      <c r="F643" s="25" t="s">
        <v>78</v>
      </c>
      <c r="G643" s="27">
        <f>$H$640</f>
        <v>33</v>
      </c>
      <c r="H643" s="27">
        <f>$G643+$E643</f>
        <v>36</v>
      </c>
      <c r="I643" s="28">
        <f>WORKDAY(Settings!$D$13,INT($G643/HoursPerDay)+1,Holidays)</f>
        <v>46342</v>
      </c>
      <c r="J643" s="28">
        <f>IF($E643=0,$I643,WORKDAY(Settings!$D$13,ROUNDUP($H643/HoursPerDay,0),Holidays))</f>
        <v>46343</v>
      </c>
    </row>
    <row r="644" spans="1:10" x14ac:dyDescent="0.25">
      <c r="A644" s="25" t="s">
        <v>12</v>
      </c>
      <c r="B644" s="25" t="s">
        <v>445</v>
      </c>
      <c r="C644" s="25" t="s">
        <v>54</v>
      </c>
      <c r="D644" s="25" t="s">
        <v>51</v>
      </c>
      <c r="E644" s="26">
        <v>6</v>
      </c>
      <c r="F644" s="25" t="s">
        <v>78</v>
      </c>
      <c r="G644" s="27">
        <f>$H$643</f>
        <v>36</v>
      </c>
      <c r="H644" s="27">
        <f>$G644+$E644</f>
        <v>42</v>
      </c>
      <c r="I644" s="28">
        <f>WORKDAY(Settings!$D$13,INT($G644/HoursPerDay)+1,Holidays)</f>
        <v>46343</v>
      </c>
      <c r="J644" s="28">
        <f>IF($E644=0,$I644,WORKDAY(Settings!$D$13,ROUNDUP($H644/HoursPerDay,0),Holidays))</f>
        <v>46343</v>
      </c>
    </row>
    <row r="645" spans="1:10" x14ac:dyDescent="0.25">
      <c r="A645" s="25" t="s">
        <v>12</v>
      </c>
      <c r="B645" s="25" t="s">
        <v>446</v>
      </c>
      <c r="C645" s="25" t="s">
        <v>56</v>
      </c>
      <c r="D645" s="25" t="s">
        <v>51</v>
      </c>
      <c r="E645" s="26">
        <v>6</v>
      </c>
      <c r="F645" s="25" t="s">
        <v>561</v>
      </c>
      <c r="G645" s="27">
        <f>0</f>
        <v>0</v>
      </c>
      <c r="H645" s="27">
        <f>$G645+$E645</f>
        <v>6</v>
      </c>
      <c r="I645" s="28">
        <f>WORKDAY(Settings!$D$13,INT($G645/HoursPerDay)+1,Holidays)</f>
        <v>46336</v>
      </c>
      <c r="J645" s="28">
        <f>IF($E645=0,$I645,WORKDAY(Settings!$D$13,ROUNDUP($H645/HoursPerDay,0),Holidays))</f>
        <v>46336</v>
      </c>
    </row>
    <row r="646" spans="1:10" x14ac:dyDescent="0.25">
      <c r="A646" s="22" t="s">
        <v>12</v>
      </c>
      <c r="B646" s="22" t="s">
        <v>448</v>
      </c>
      <c r="C646" s="22" t="s">
        <v>562</v>
      </c>
      <c r="D646" s="22" t="s">
        <v>48</v>
      </c>
      <c r="E646" s="23">
        <f>SUMIF($D647:$D649,"Task",$E647:$E649)</f>
        <v>10</v>
      </c>
      <c r="F646" s="22"/>
      <c r="G646" s="23"/>
      <c r="H646" s="23"/>
      <c r="I646" s="24">
        <f>MIN($I647:$I649)</f>
        <v>46342</v>
      </c>
      <c r="J646" s="24">
        <f>MAX($J647:$J649)</f>
        <v>46344</v>
      </c>
    </row>
    <row r="647" spans="1:10" x14ac:dyDescent="0.25">
      <c r="A647" s="25" t="s">
        <v>12</v>
      </c>
      <c r="B647" s="25" t="s">
        <v>563</v>
      </c>
      <c r="C647" s="25" t="s">
        <v>50</v>
      </c>
      <c r="D647" s="25" t="s">
        <v>51</v>
      </c>
      <c r="E647" s="26">
        <v>2</v>
      </c>
      <c r="F647" s="25" t="s">
        <v>78</v>
      </c>
      <c r="G647" s="27">
        <f>$H$644</f>
        <v>42</v>
      </c>
      <c r="H647" s="27">
        <f>$G647+$E647</f>
        <v>44</v>
      </c>
      <c r="I647" s="28">
        <f>WORKDAY(Settings!$D$13,INT($G647/HoursPerDay)+1,Holidays)</f>
        <v>46344</v>
      </c>
      <c r="J647" s="28">
        <f>IF($E647=0,$I647,WORKDAY(Settings!$D$13,ROUNDUP($H647/HoursPerDay,0),Holidays))</f>
        <v>46344</v>
      </c>
    </row>
    <row r="648" spans="1:10" x14ac:dyDescent="0.25">
      <c r="A648" s="25" t="s">
        <v>12</v>
      </c>
      <c r="B648" s="25" t="s">
        <v>450</v>
      </c>
      <c r="C648" s="25" t="s">
        <v>54</v>
      </c>
      <c r="D648" s="25" t="s">
        <v>51</v>
      </c>
      <c r="E648" s="26">
        <v>4</v>
      </c>
      <c r="F648" s="25" t="s">
        <v>78</v>
      </c>
      <c r="G648" s="27">
        <f>$H$647</f>
        <v>44</v>
      </c>
      <c r="H648" s="27">
        <f>$G648+$E648</f>
        <v>48</v>
      </c>
      <c r="I648" s="28">
        <f>WORKDAY(Settings!$D$13,INT($G648/HoursPerDay)+1,Holidays)</f>
        <v>46344</v>
      </c>
      <c r="J648" s="28">
        <f>IF($E648=0,$I648,WORKDAY(Settings!$D$13,ROUNDUP($H648/HoursPerDay,0),Holidays))</f>
        <v>46344</v>
      </c>
    </row>
    <row r="649" spans="1:10" x14ac:dyDescent="0.25">
      <c r="A649" s="25" t="s">
        <v>12</v>
      </c>
      <c r="B649" s="25" t="s">
        <v>451</v>
      </c>
      <c r="C649" s="25" t="s">
        <v>56</v>
      </c>
      <c r="D649" s="25" t="s">
        <v>51</v>
      </c>
      <c r="E649" s="26">
        <v>4</v>
      </c>
      <c r="F649" s="25" t="s">
        <v>57</v>
      </c>
      <c r="G649" s="27">
        <f>$H$641</f>
        <v>28</v>
      </c>
      <c r="H649" s="27">
        <f>$G649+$E649</f>
        <v>32</v>
      </c>
      <c r="I649" s="28">
        <f>WORKDAY(Settings!$D$13,INT($G649/HoursPerDay)+1,Holidays)</f>
        <v>46342</v>
      </c>
      <c r="J649" s="28">
        <f>IF($E649=0,$I649,WORKDAY(Settings!$D$13,ROUNDUP($H649/HoursPerDay,0),Holidays))</f>
        <v>46342</v>
      </c>
    </row>
    <row r="650" spans="1:10" x14ac:dyDescent="0.25">
      <c r="A650" s="22" t="s">
        <v>12</v>
      </c>
      <c r="B650" s="22" t="s">
        <v>564</v>
      </c>
      <c r="C650" s="22" t="s">
        <v>565</v>
      </c>
      <c r="D650" s="22" t="s">
        <v>48</v>
      </c>
      <c r="E650" s="23">
        <f>SUMIF($D651:$D653,"Task",$E651:$E653)</f>
        <v>15</v>
      </c>
      <c r="F650" s="22"/>
      <c r="G650" s="23"/>
      <c r="H650" s="23"/>
      <c r="I650" s="24">
        <f>MIN($I651:$I653)</f>
        <v>46336</v>
      </c>
      <c r="J650" s="24">
        <f>MAX($J651:$J653)</f>
        <v>46346</v>
      </c>
    </row>
    <row r="651" spans="1:10" x14ac:dyDescent="0.25">
      <c r="A651" s="25" t="s">
        <v>12</v>
      </c>
      <c r="B651" s="25" t="s">
        <v>566</v>
      </c>
      <c r="C651" s="25" t="s">
        <v>50</v>
      </c>
      <c r="D651" s="25" t="s">
        <v>51</v>
      </c>
      <c r="E651" s="26">
        <v>3</v>
      </c>
      <c r="F651" s="25" t="s">
        <v>78</v>
      </c>
      <c r="G651" s="27">
        <f>$H$648</f>
        <v>48</v>
      </c>
      <c r="H651" s="27">
        <f>$G651+$E651</f>
        <v>51</v>
      </c>
      <c r="I651" s="28">
        <f>WORKDAY(Settings!$D$13,INT($G651/HoursPerDay)+1,Holidays)</f>
        <v>46344</v>
      </c>
      <c r="J651" s="28">
        <f>IF($E651=0,$I651,WORKDAY(Settings!$D$13,ROUNDUP($H651/HoursPerDay,0),Holidays))</f>
        <v>46345</v>
      </c>
    </row>
    <row r="652" spans="1:10" x14ac:dyDescent="0.25">
      <c r="A652" s="25" t="s">
        <v>12</v>
      </c>
      <c r="B652" s="25" t="s">
        <v>567</v>
      </c>
      <c r="C652" s="25" t="s">
        <v>54</v>
      </c>
      <c r="D652" s="25" t="s">
        <v>51</v>
      </c>
      <c r="E652" s="26">
        <v>6</v>
      </c>
      <c r="F652" s="25" t="s">
        <v>78</v>
      </c>
      <c r="G652" s="27">
        <f>$H$651</f>
        <v>51</v>
      </c>
      <c r="H652" s="27">
        <f>$G652+$E652</f>
        <v>57</v>
      </c>
      <c r="I652" s="28">
        <f>WORKDAY(Settings!$D$13,INT($G652/HoursPerDay)+1,Holidays)</f>
        <v>46345</v>
      </c>
      <c r="J652" s="28">
        <f>IF($E652=0,$I652,WORKDAY(Settings!$D$13,ROUNDUP($H652/HoursPerDay,0),Holidays))</f>
        <v>46346</v>
      </c>
    </row>
    <row r="653" spans="1:10" x14ac:dyDescent="0.25">
      <c r="A653" s="25" t="s">
        <v>12</v>
      </c>
      <c r="B653" s="25" t="s">
        <v>568</v>
      </c>
      <c r="C653" s="25" t="s">
        <v>56</v>
      </c>
      <c r="D653" s="25" t="s">
        <v>51</v>
      </c>
      <c r="E653" s="26">
        <v>6</v>
      </c>
      <c r="F653" s="25" t="s">
        <v>561</v>
      </c>
      <c r="G653" s="27">
        <f>$H$645</f>
        <v>6</v>
      </c>
      <c r="H653" s="27">
        <f>$G653+$E653</f>
        <v>12</v>
      </c>
      <c r="I653" s="28">
        <f>WORKDAY(Settings!$D$13,INT($G653/HoursPerDay)+1,Holidays)</f>
        <v>46336</v>
      </c>
      <c r="J653" s="28">
        <f>IF($E653=0,$I653,WORKDAY(Settings!$D$13,ROUNDUP($H653/HoursPerDay,0),Holidays))</f>
        <v>46337</v>
      </c>
    </row>
    <row r="654" spans="1:10" x14ac:dyDescent="0.25">
      <c r="A654" s="22" t="s">
        <v>12</v>
      </c>
      <c r="B654" s="22" t="s">
        <v>569</v>
      </c>
      <c r="C654" s="22" t="s">
        <v>570</v>
      </c>
      <c r="D654" s="22" t="s">
        <v>48</v>
      </c>
      <c r="E654" s="23">
        <f>SUMIF($D655:$D657,"Task",$E655:$E657)</f>
        <v>10</v>
      </c>
      <c r="F654" s="22"/>
      <c r="G654" s="23"/>
      <c r="H654" s="23"/>
      <c r="I654" s="24">
        <f>MIN($I655:$I657)</f>
        <v>46342</v>
      </c>
      <c r="J654" s="24">
        <f>MAX($J655:$J657)</f>
        <v>46346</v>
      </c>
    </row>
    <row r="655" spans="1:10" x14ac:dyDescent="0.25">
      <c r="A655" s="25" t="s">
        <v>12</v>
      </c>
      <c r="B655" s="25" t="s">
        <v>571</v>
      </c>
      <c r="C655" s="25" t="s">
        <v>50</v>
      </c>
      <c r="D655" s="25" t="s">
        <v>51</v>
      </c>
      <c r="E655" s="26">
        <v>2</v>
      </c>
      <c r="F655" s="25" t="s">
        <v>78</v>
      </c>
      <c r="G655" s="27">
        <f>$H$652</f>
        <v>57</v>
      </c>
      <c r="H655" s="27">
        <f>$G655+$E655</f>
        <v>59</v>
      </c>
      <c r="I655" s="28">
        <f>WORKDAY(Settings!$D$13,INT($G655/HoursPerDay)+1,Holidays)</f>
        <v>46346</v>
      </c>
      <c r="J655" s="28">
        <f>IF($E655=0,$I655,WORKDAY(Settings!$D$13,ROUNDUP($H655/HoursPerDay,0),Holidays))</f>
        <v>46346</v>
      </c>
    </row>
    <row r="656" spans="1:10" x14ac:dyDescent="0.25">
      <c r="A656" s="25" t="s">
        <v>12</v>
      </c>
      <c r="B656" s="25" t="s">
        <v>572</v>
      </c>
      <c r="C656" s="25" t="s">
        <v>54</v>
      </c>
      <c r="D656" s="25" t="s">
        <v>51</v>
      </c>
      <c r="E656" s="26">
        <v>4</v>
      </c>
      <c r="F656" s="25" t="s">
        <v>78</v>
      </c>
      <c r="G656" s="27">
        <f>$H$655</f>
        <v>59</v>
      </c>
      <c r="H656" s="27">
        <f>$G656+$E656</f>
        <v>63</v>
      </c>
      <c r="I656" s="28">
        <f>WORKDAY(Settings!$D$13,INT($G656/HoursPerDay)+1,Holidays)</f>
        <v>46346</v>
      </c>
      <c r="J656" s="28">
        <f>IF($E656=0,$I656,WORKDAY(Settings!$D$13,ROUNDUP($H656/HoursPerDay,0),Holidays))</f>
        <v>46346</v>
      </c>
    </row>
    <row r="657" spans="1:10" x14ac:dyDescent="0.25">
      <c r="A657" s="25" t="s">
        <v>12</v>
      </c>
      <c r="B657" s="25" t="s">
        <v>573</v>
      </c>
      <c r="C657" s="25" t="s">
        <v>56</v>
      </c>
      <c r="D657" s="25" t="s">
        <v>51</v>
      </c>
      <c r="E657" s="26">
        <v>4</v>
      </c>
      <c r="F657" s="25" t="s">
        <v>57</v>
      </c>
      <c r="G657" s="27">
        <f>$H$649</f>
        <v>32</v>
      </c>
      <c r="H657" s="27">
        <f>$G657+$E657</f>
        <v>36</v>
      </c>
      <c r="I657" s="28">
        <f>WORKDAY(Settings!$D$13,INT($G657/HoursPerDay)+1,Holidays)</f>
        <v>46342</v>
      </c>
      <c r="J657" s="28">
        <f>IF($E657=0,$I657,WORKDAY(Settings!$D$13,ROUNDUP($H657/HoursPerDay,0),Holidays))</f>
        <v>46343</v>
      </c>
    </row>
    <row r="658" spans="1:10" x14ac:dyDescent="0.25">
      <c r="A658" s="22" t="s">
        <v>12</v>
      </c>
      <c r="B658" s="22" t="s">
        <v>574</v>
      </c>
      <c r="C658" s="22" t="s">
        <v>575</v>
      </c>
      <c r="D658" s="22" t="s">
        <v>48</v>
      </c>
      <c r="E658" s="23">
        <f>SUMIF($D659:$D661,"Task",$E659:$E661)</f>
        <v>10</v>
      </c>
      <c r="F658" s="22"/>
      <c r="G658" s="23"/>
      <c r="H658" s="23"/>
      <c r="I658" s="24">
        <f>MIN($I659:$I661)</f>
        <v>46343</v>
      </c>
      <c r="J658" s="24">
        <f>MAX($J659:$J661)</f>
        <v>46349</v>
      </c>
    </row>
    <row r="659" spans="1:10" x14ac:dyDescent="0.25">
      <c r="A659" s="25" t="s">
        <v>12</v>
      </c>
      <c r="B659" s="25" t="s">
        <v>576</v>
      </c>
      <c r="C659" s="25" t="s">
        <v>50</v>
      </c>
      <c r="D659" s="25" t="s">
        <v>51</v>
      </c>
      <c r="E659" s="26">
        <v>2</v>
      </c>
      <c r="F659" s="25" t="s">
        <v>78</v>
      </c>
      <c r="G659" s="27">
        <f>$H$656</f>
        <v>63</v>
      </c>
      <c r="H659" s="27">
        <f>$G659+$E659</f>
        <v>65</v>
      </c>
      <c r="I659" s="28">
        <f>WORKDAY(Settings!$D$13,INT($G659/HoursPerDay)+1,Holidays)</f>
        <v>46349</v>
      </c>
      <c r="J659" s="28">
        <f>IF($E659=0,$I659,WORKDAY(Settings!$D$13,ROUNDUP($H659/HoursPerDay,0),Holidays))</f>
        <v>46349</v>
      </c>
    </row>
    <row r="660" spans="1:10" x14ac:dyDescent="0.25">
      <c r="A660" s="25" t="s">
        <v>12</v>
      </c>
      <c r="B660" s="25" t="s">
        <v>577</v>
      </c>
      <c r="C660" s="25" t="s">
        <v>54</v>
      </c>
      <c r="D660" s="25" t="s">
        <v>51</v>
      </c>
      <c r="E660" s="26">
        <v>4</v>
      </c>
      <c r="F660" s="25" t="s">
        <v>78</v>
      </c>
      <c r="G660" s="27">
        <f>$H$659</f>
        <v>65</v>
      </c>
      <c r="H660" s="27">
        <f>$G660+$E660</f>
        <v>69</v>
      </c>
      <c r="I660" s="28">
        <f>WORKDAY(Settings!$D$13,INT($G660/HoursPerDay)+1,Holidays)</f>
        <v>46349</v>
      </c>
      <c r="J660" s="28">
        <f>IF($E660=0,$I660,WORKDAY(Settings!$D$13,ROUNDUP($H660/HoursPerDay,0),Holidays))</f>
        <v>46349</v>
      </c>
    </row>
    <row r="661" spans="1:10" x14ac:dyDescent="0.25">
      <c r="A661" s="25" t="s">
        <v>12</v>
      </c>
      <c r="B661" s="25" t="s">
        <v>578</v>
      </c>
      <c r="C661" s="25" t="s">
        <v>56</v>
      </c>
      <c r="D661" s="25" t="s">
        <v>51</v>
      </c>
      <c r="E661" s="26">
        <v>4</v>
      </c>
      <c r="F661" s="25" t="s">
        <v>57</v>
      </c>
      <c r="G661" s="27">
        <f>$H$657</f>
        <v>36</v>
      </c>
      <c r="H661" s="27">
        <f>$G661+$E661</f>
        <v>40</v>
      </c>
      <c r="I661" s="28">
        <f>WORKDAY(Settings!$D$13,INT($G661/HoursPerDay)+1,Holidays)</f>
        <v>46343</v>
      </c>
      <c r="J661" s="28">
        <f>IF($E661=0,$I661,WORKDAY(Settings!$D$13,ROUNDUP($H661/HoursPerDay,0),Holidays))</f>
        <v>46343</v>
      </c>
    </row>
    <row r="662" spans="1:10" x14ac:dyDescent="0.25">
      <c r="A662" s="22" t="s">
        <v>12</v>
      </c>
      <c r="B662" s="22" t="s">
        <v>579</v>
      </c>
      <c r="C662" s="22" t="s">
        <v>580</v>
      </c>
      <c r="D662" s="22" t="s">
        <v>48</v>
      </c>
      <c r="E662" s="23">
        <f>SUMIF($D663:$D664,"Task",$E663:$E664)</f>
        <v>8</v>
      </c>
      <c r="F662" s="22"/>
      <c r="G662" s="23"/>
      <c r="H662" s="23"/>
      <c r="I662" s="24">
        <f>MIN($I663:$I664)</f>
        <v>46336</v>
      </c>
      <c r="J662" s="24">
        <f>MAX($J663:$J664)</f>
        <v>46344</v>
      </c>
    </row>
    <row r="663" spans="1:10" x14ac:dyDescent="0.25">
      <c r="A663" s="25" t="s">
        <v>12</v>
      </c>
      <c r="B663" s="25" t="s">
        <v>581</v>
      </c>
      <c r="C663" s="25" t="s">
        <v>54</v>
      </c>
      <c r="D663" s="25" t="s">
        <v>51</v>
      </c>
      <c r="E663" s="26">
        <v>4</v>
      </c>
      <c r="F663" s="25" t="s">
        <v>52</v>
      </c>
      <c r="G663" s="27">
        <f>0</f>
        <v>0</v>
      </c>
      <c r="H663" s="27">
        <f>$G663+$E663</f>
        <v>4</v>
      </c>
      <c r="I663" s="28">
        <f>WORKDAY(Settings!$D$13,INT($G663/HoursPerDay)+1,Holidays)</f>
        <v>46336</v>
      </c>
      <c r="J663" s="28">
        <f>IF($E663=0,$I663,WORKDAY(Settings!$D$13,ROUNDUP($H663/HoursPerDay,0),Holidays))</f>
        <v>46336</v>
      </c>
    </row>
    <row r="664" spans="1:10" x14ac:dyDescent="0.25">
      <c r="A664" s="25" t="s">
        <v>12</v>
      </c>
      <c r="B664" s="25" t="s">
        <v>582</v>
      </c>
      <c r="C664" s="25" t="s">
        <v>56</v>
      </c>
      <c r="D664" s="25" t="s">
        <v>51</v>
      </c>
      <c r="E664" s="26">
        <v>4</v>
      </c>
      <c r="F664" s="25" t="s">
        <v>57</v>
      </c>
      <c r="G664" s="27">
        <f>$H$661</f>
        <v>40</v>
      </c>
      <c r="H664" s="27">
        <f>$G664+$E664</f>
        <v>44</v>
      </c>
      <c r="I664" s="28">
        <f>WORKDAY(Settings!$D$13,INT($G664/HoursPerDay)+1,Holidays)</f>
        <v>46343</v>
      </c>
      <c r="J664" s="28">
        <f>IF($E664=0,$I664,WORKDAY(Settings!$D$13,ROUNDUP($H664/HoursPerDay,0),Holidays))</f>
        <v>46344</v>
      </c>
    </row>
    <row r="665" spans="1:10" x14ac:dyDescent="0.25">
      <c r="A665" s="22" t="s">
        <v>12</v>
      </c>
      <c r="B665" s="22" t="s">
        <v>583</v>
      </c>
      <c r="C665" s="22" t="s">
        <v>584</v>
      </c>
      <c r="D665" s="22" t="s">
        <v>48</v>
      </c>
      <c r="E665" s="23">
        <f>SUMIF($D666:$D668,"Task",$E666:$E668)</f>
        <v>15</v>
      </c>
      <c r="F665" s="22"/>
      <c r="G665" s="23"/>
      <c r="H665" s="23"/>
      <c r="I665" s="24">
        <f>MIN($I666:$I668)</f>
        <v>46337</v>
      </c>
      <c r="J665" s="24">
        <f>MAX($J666:$J668)</f>
        <v>46351</v>
      </c>
    </row>
    <row r="666" spans="1:10" x14ac:dyDescent="0.25">
      <c r="A666" s="25" t="s">
        <v>12</v>
      </c>
      <c r="B666" s="25" t="s">
        <v>585</v>
      </c>
      <c r="C666" s="25" t="s">
        <v>50</v>
      </c>
      <c r="D666" s="25" t="s">
        <v>51</v>
      </c>
      <c r="E666" s="26">
        <v>3</v>
      </c>
      <c r="F666" s="25" t="s">
        <v>78</v>
      </c>
      <c r="G666" s="27">
        <f>$H$660</f>
        <v>69</v>
      </c>
      <c r="H666" s="27">
        <f>$G666+$E666</f>
        <v>72</v>
      </c>
      <c r="I666" s="28">
        <f>WORKDAY(Settings!$D$13,INT($G666/HoursPerDay)+1,Holidays)</f>
        <v>46349</v>
      </c>
      <c r="J666" s="28">
        <f>IF($E666=0,$I666,WORKDAY(Settings!$D$13,ROUNDUP($H666/HoursPerDay,0),Holidays))</f>
        <v>46350</v>
      </c>
    </row>
    <row r="667" spans="1:10" x14ac:dyDescent="0.25">
      <c r="A667" s="25" t="s">
        <v>12</v>
      </c>
      <c r="B667" s="25" t="s">
        <v>586</v>
      </c>
      <c r="C667" s="25" t="s">
        <v>54</v>
      </c>
      <c r="D667" s="25" t="s">
        <v>51</v>
      </c>
      <c r="E667" s="26">
        <v>6</v>
      </c>
      <c r="F667" s="25" t="s">
        <v>78</v>
      </c>
      <c r="G667" s="27">
        <f>$H$666</f>
        <v>72</v>
      </c>
      <c r="H667" s="27">
        <f>$G667+$E667</f>
        <v>78</v>
      </c>
      <c r="I667" s="28">
        <f>WORKDAY(Settings!$D$13,INT($G667/HoursPerDay)+1,Holidays)</f>
        <v>46350</v>
      </c>
      <c r="J667" s="28">
        <f>IF($E667=0,$I667,WORKDAY(Settings!$D$13,ROUNDUP($H667/HoursPerDay,0),Holidays))</f>
        <v>46351</v>
      </c>
    </row>
    <row r="668" spans="1:10" x14ac:dyDescent="0.25">
      <c r="A668" s="25" t="s">
        <v>12</v>
      </c>
      <c r="B668" s="25" t="s">
        <v>587</v>
      </c>
      <c r="C668" s="25" t="s">
        <v>56</v>
      </c>
      <c r="D668" s="25" t="s">
        <v>51</v>
      </c>
      <c r="E668" s="26">
        <v>6</v>
      </c>
      <c r="F668" s="25" t="s">
        <v>561</v>
      </c>
      <c r="G668" s="27">
        <f>$H$653</f>
        <v>12</v>
      </c>
      <c r="H668" s="27">
        <f>$G668+$E668</f>
        <v>18</v>
      </c>
      <c r="I668" s="28">
        <f>WORKDAY(Settings!$D$13,INT($G668/HoursPerDay)+1,Holidays)</f>
        <v>46337</v>
      </c>
      <c r="J668" s="28">
        <f>IF($E668=0,$I668,WORKDAY(Settings!$D$13,ROUNDUP($H668/HoursPerDay,0),Holidays))</f>
        <v>46338</v>
      </c>
    </row>
    <row r="669" spans="1:10" x14ac:dyDescent="0.25">
      <c r="A669" s="22" t="s">
        <v>12</v>
      </c>
      <c r="B669" s="22" t="s">
        <v>588</v>
      </c>
      <c r="C669" s="22" t="s">
        <v>589</v>
      </c>
      <c r="D669" s="22" t="s">
        <v>48</v>
      </c>
      <c r="E669" s="23">
        <f>SUMIF($D670:$D672,"Task",$E670:$E672)</f>
        <v>10</v>
      </c>
      <c r="F669" s="22"/>
      <c r="G669" s="23"/>
      <c r="H669" s="23"/>
      <c r="I669" s="24">
        <f>MIN($I670:$I672)</f>
        <v>46344</v>
      </c>
      <c r="J669" s="24">
        <f>MAX($J670:$J672)</f>
        <v>46351</v>
      </c>
    </row>
    <row r="670" spans="1:10" x14ac:dyDescent="0.25">
      <c r="A670" s="25" t="s">
        <v>12</v>
      </c>
      <c r="B670" s="25" t="s">
        <v>590</v>
      </c>
      <c r="C670" s="25" t="s">
        <v>50</v>
      </c>
      <c r="D670" s="25" t="s">
        <v>51</v>
      </c>
      <c r="E670" s="26">
        <v>2</v>
      </c>
      <c r="F670" s="25" t="s">
        <v>78</v>
      </c>
      <c r="G670" s="27">
        <f>$H$667</f>
        <v>78</v>
      </c>
      <c r="H670" s="27">
        <f>$G670+$E670</f>
        <v>80</v>
      </c>
      <c r="I670" s="28">
        <f>WORKDAY(Settings!$D$13,INT($G670/HoursPerDay)+1,Holidays)</f>
        <v>46351</v>
      </c>
      <c r="J670" s="28">
        <f>IF($E670=0,$I670,WORKDAY(Settings!$D$13,ROUNDUP($H670/HoursPerDay,0),Holidays))</f>
        <v>46351</v>
      </c>
    </row>
    <row r="671" spans="1:10" x14ac:dyDescent="0.25">
      <c r="A671" s="25" t="s">
        <v>12</v>
      </c>
      <c r="B671" s="25" t="s">
        <v>591</v>
      </c>
      <c r="C671" s="25" t="s">
        <v>54</v>
      </c>
      <c r="D671" s="25" t="s">
        <v>51</v>
      </c>
      <c r="E671" s="26">
        <v>4</v>
      </c>
      <c r="F671" s="25" t="s">
        <v>78</v>
      </c>
      <c r="G671" s="27">
        <f>$H$670</f>
        <v>80</v>
      </c>
      <c r="H671" s="27">
        <f>$G671+$E671</f>
        <v>84</v>
      </c>
      <c r="I671" s="28">
        <f>WORKDAY(Settings!$D$13,INT($G671/HoursPerDay)+1,Holidays)</f>
        <v>46351</v>
      </c>
      <c r="J671" s="28">
        <f>IF($E671=0,$I671,WORKDAY(Settings!$D$13,ROUNDUP($H671/HoursPerDay,0),Holidays))</f>
        <v>46351</v>
      </c>
    </row>
    <row r="672" spans="1:10" x14ac:dyDescent="0.25">
      <c r="A672" s="25" t="s">
        <v>12</v>
      </c>
      <c r="B672" s="25" t="s">
        <v>592</v>
      </c>
      <c r="C672" s="25" t="s">
        <v>56</v>
      </c>
      <c r="D672" s="25" t="s">
        <v>51</v>
      </c>
      <c r="E672" s="26">
        <v>4</v>
      </c>
      <c r="F672" s="25" t="s">
        <v>57</v>
      </c>
      <c r="G672" s="27">
        <f>$H$664</f>
        <v>44</v>
      </c>
      <c r="H672" s="27">
        <f>$G672+$E672</f>
        <v>48</v>
      </c>
      <c r="I672" s="28">
        <f>WORKDAY(Settings!$D$13,INT($G672/HoursPerDay)+1,Holidays)</f>
        <v>46344</v>
      </c>
      <c r="J672" s="28">
        <f>IF($E672=0,$I672,WORKDAY(Settings!$D$13,ROUNDUP($H672/HoursPerDay,0),Holidays))</f>
        <v>46344</v>
      </c>
    </row>
    <row r="673" spans="1:10" x14ac:dyDescent="0.25">
      <c r="A673" s="22" t="s">
        <v>12</v>
      </c>
      <c r="B673" s="22" t="s">
        <v>593</v>
      </c>
      <c r="C673" s="22" t="s">
        <v>594</v>
      </c>
      <c r="D673" s="22" t="s">
        <v>48</v>
      </c>
      <c r="E673" s="23">
        <f>SUMIF($D674:$D676,"Task",$E674:$E676)</f>
        <v>10</v>
      </c>
      <c r="F673" s="22"/>
      <c r="G673" s="23"/>
      <c r="H673" s="23"/>
      <c r="I673" s="24">
        <f>MIN($I674:$I676)</f>
        <v>46338</v>
      </c>
      <c r="J673" s="24">
        <f>MAX($J674:$J676)</f>
        <v>46352</v>
      </c>
    </row>
    <row r="674" spans="1:10" x14ac:dyDescent="0.25">
      <c r="A674" s="25" t="s">
        <v>12</v>
      </c>
      <c r="B674" s="25" t="s">
        <v>595</v>
      </c>
      <c r="C674" s="25" t="s">
        <v>50</v>
      </c>
      <c r="D674" s="25" t="s">
        <v>51</v>
      </c>
      <c r="E674" s="26">
        <v>2</v>
      </c>
      <c r="F674" s="25" t="s">
        <v>78</v>
      </c>
      <c r="G674" s="27">
        <f>$H$671</f>
        <v>84</v>
      </c>
      <c r="H674" s="27">
        <f>$G674+$E674</f>
        <v>86</v>
      </c>
      <c r="I674" s="28">
        <f>WORKDAY(Settings!$D$13,INT($G674/HoursPerDay)+1,Holidays)</f>
        <v>46352</v>
      </c>
      <c r="J674" s="28">
        <f>IF($E674=0,$I674,WORKDAY(Settings!$D$13,ROUNDUP($H674/HoursPerDay,0),Holidays))</f>
        <v>46352</v>
      </c>
    </row>
    <row r="675" spans="1:10" x14ac:dyDescent="0.25">
      <c r="A675" s="25" t="s">
        <v>12</v>
      </c>
      <c r="B675" s="25" t="s">
        <v>596</v>
      </c>
      <c r="C675" s="25" t="s">
        <v>54</v>
      </c>
      <c r="D675" s="25" t="s">
        <v>51</v>
      </c>
      <c r="E675" s="26">
        <v>4</v>
      </c>
      <c r="F675" s="25" t="s">
        <v>78</v>
      </c>
      <c r="G675" s="27">
        <f>$H$674</f>
        <v>86</v>
      </c>
      <c r="H675" s="27">
        <f>$G675+$E675</f>
        <v>90</v>
      </c>
      <c r="I675" s="28">
        <f>WORKDAY(Settings!$D$13,INT($G675/HoursPerDay)+1,Holidays)</f>
        <v>46352</v>
      </c>
      <c r="J675" s="28">
        <f>IF($E675=0,$I675,WORKDAY(Settings!$D$13,ROUNDUP($H675/HoursPerDay,0),Holidays))</f>
        <v>46352</v>
      </c>
    </row>
    <row r="676" spans="1:10" x14ac:dyDescent="0.25">
      <c r="A676" s="25" t="s">
        <v>12</v>
      </c>
      <c r="B676" s="25" t="s">
        <v>597</v>
      </c>
      <c r="C676" s="25" t="s">
        <v>56</v>
      </c>
      <c r="D676" s="25" t="s">
        <v>51</v>
      </c>
      <c r="E676" s="26">
        <v>4</v>
      </c>
      <c r="F676" s="25" t="s">
        <v>561</v>
      </c>
      <c r="G676" s="27">
        <f>$H$668</f>
        <v>18</v>
      </c>
      <c r="H676" s="27">
        <f>$G676+$E676</f>
        <v>22</v>
      </c>
      <c r="I676" s="28">
        <f>WORKDAY(Settings!$D$13,INT($G676/HoursPerDay)+1,Holidays)</f>
        <v>46338</v>
      </c>
      <c r="J676" s="28">
        <f>IF($E676=0,$I676,WORKDAY(Settings!$D$13,ROUNDUP($H676/HoursPerDay,0),Holidays))</f>
        <v>46339</v>
      </c>
    </row>
    <row r="677" spans="1:10" x14ac:dyDescent="0.25">
      <c r="A677" s="22" t="s">
        <v>12</v>
      </c>
      <c r="B677" s="22" t="s">
        <v>598</v>
      </c>
      <c r="C677" s="22" t="s">
        <v>599</v>
      </c>
      <c r="D677" s="22" t="s">
        <v>48</v>
      </c>
      <c r="E677" s="23">
        <f>SUMIF($D678:$D680,"Task",$E678:$E680)</f>
        <v>12</v>
      </c>
      <c r="F677" s="22"/>
      <c r="G677" s="23"/>
      <c r="H677" s="23"/>
      <c r="I677" s="24">
        <f>MIN($I678:$I680)</f>
        <v>46336</v>
      </c>
      <c r="J677" s="24">
        <f>MAX($J678:$J680)</f>
        <v>46345</v>
      </c>
    </row>
    <row r="678" spans="1:10" x14ac:dyDescent="0.25">
      <c r="A678" s="25" t="s">
        <v>12</v>
      </c>
      <c r="B678" s="25" t="s">
        <v>600</v>
      </c>
      <c r="C678" s="25" t="s">
        <v>54</v>
      </c>
      <c r="D678" s="25" t="s">
        <v>51</v>
      </c>
      <c r="E678" s="26">
        <v>4</v>
      </c>
      <c r="F678" s="25" t="s">
        <v>52</v>
      </c>
      <c r="G678" s="27">
        <f>$H$663</f>
        <v>4</v>
      </c>
      <c r="H678" s="27">
        <f>$G678+$E678</f>
        <v>8</v>
      </c>
      <c r="I678" s="28">
        <f>WORKDAY(Settings!$D$13,INT($G678/HoursPerDay)+1,Holidays)</f>
        <v>46336</v>
      </c>
      <c r="J678" s="28">
        <f>IF($E678=0,$I678,WORKDAY(Settings!$D$13,ROUNDUP($H678/HoursPerDay,0),Holidays))</f>
        <v>46337</v>
      </c>
    </row>
    <row r="679" spans="1:10" x14ac:dyDescent="0.25">
      <c r="A679" s="25" t="s">
        <v>12</v>
      </c>
      <c r="B679" s="25" t="s">
        <v>601</v>
      </c>
      <c r="C679" s="25" t="s">
        <v>56</v>
      </c>
      <c r="D679" s="25" t="s">
        <v>51</v>
      </c>
      <c r="E679" s="26">
        <v>4</v>
      </c>
      <c r="F679" s="25" t="s">
        <v>57</v>
      </c>
      <c r="G679" s="27">
        <f>$H$672</f>
        <v>48</v>
      </c>
      <c r="H679" s="27">
        <f>$G679+$E679</f>
        <v>52</v>
      </c>
      <c r="I679" s="28">
        <f>WORKDAY(Settings!$D$13,INT($G679/HoursPerDay)+1,Holidays)</f>
        <v>46344</v>
      </c>
      <c r="J679" s="28">
        <f>IF($E679=0,$I679,WORKDAY(Settings!$D$13,ROUNDUP($H679/HoursPerDay,0),Holidays))</f>
        <v>46345</v>
      </c>
    </row>
    <row r="680" spans="1:10" x14ac:dyDescent="0.25">
      <c r="A680" s="25" t="s">
        <v>12</v>
      </c>
      <c r="B680" s="25" t="s">
        <v>602</v>
      </c>
      <c r="C680" s="25" t="s">
        <v>59</v>
      </c>
      <c r="D680" s="25" t="s">
        <v>51</v>
      </c>
      <c r="E680" s="26">
        <v>4</v>
      </c>
      <c r="F680" s="25" t="s">
        <v>60</v>
      </c>
      <c r="G680" s="27">
        <f>0</f>
        <v>0</v>
      </c>
      <c r="H680" s="27">
        <f>$G680+$E680</f>
        <v>4</v>
      </c>
      <c r="I680" s="28">
        <f>WORKDAY(Settings!$D$13,INT($G680/HoursPerDay)+1,Holidays)</f>
        <v>46336</v>
      </c>
      <c r="J680" s="28">
        <f>IF($E680=0,$I680,WORKDAY(Settings!$D$13,ROUNDUP($H680/HoursPerDay,0),Holidays))</f>
        <v>46336</v>
      </c>
    </row>
    <row r="681" spans="1:10" x14ac:dyDescent="0.25">
      <c r="A681" s="19" t="s">
        <v>12</v>
      </c>
      <c r="B681" s="19" t="s">
        <v>73</v>
      </c>
      <c r="C681" s="19" t="s">
        <v>603</v>
      </c>
      <c r="D681" s="19" t="s">
        <v>45</v>
      </c>
      <c r="E681" s="20">
        <f>SUMIF($D682:$D705,"Task",$E682:$E705)</f>
        <v>76</v>
      </c>
      <c r="F681" s="19"/>
      <c r="G681" s="20"/>
      <c r="H681" s="20"/>
      <c r="I681" s="21">
        <f>MIN($I682:$I705)</f>
        <v>46336</v>
      </c>
      <c r="J681" s="21">
        <f>MAX($J682:$J705)</f>
        <v>46358</v>
      </c>
    </row>
    <row r="682" spans="1:10" x14ac:dyDescent="0.25">
      <c r="A682" s="22" t="s">
        <v>12</v>
      </c>
      <c r="B682" s="22" t="s">
        <v>75</v>
      </c>
      <c r="C682" s="22" t="s">
        <v>604</v>
      </c>
      <c r="D682" s="22" t="s">
        <v>48</v>
      </c>
      <c r="E682" s="23">
        <f>SUMIF($D683:$D686,"Task",$E683:$E686)</f>
        <v>15</v>
      </c>
      <c r="F682" s="22"/>
      <c r="G682" s="23"/>
      <c r="H682" s="23"/>
      <c r="I682" s="24">
        <f>MIN($I683:$I686)</f>
        <v>46336</v>
      </c>
      <c r="J682" s="24">
        <f>MAX($J683:$J686)</f>
        <v>46353</v>
      </c>
    </row>
    <row r="683" spans="1:10" x14ac:dyDescent="0.25">
      <c r="A683" s="25" t="s">
        <v>12</v>
      </c>
      <c r="B683" s="25" t="s">
        <v>77</v>
      </c>
      <c r="C683" s="25" t="s">
        <v>50</v>
      </c>
      <c r="D683" s="25" t="s">
        <v>51</v>
      </c>
      <c r="E683" s="26">
        <v>2</v>
      </c>
      <c r="F683" s="25" t="s">
        <v>78</v>
      </c>
      <c r="G683" s="27">
        <f>$H$675</f>
        <v>90</v>
      </c>
      <c r="H683" s="27">
        <f>$G683+$E683</f>
        <v>92</v>
      </c>
      <c r="I683" s="28">
        <f>WORKDAY(Settings!$D$13,INT($G683/HoursPerDay)+1,Holidays)</f>
        <v>46352</v>
      </c>
      <c r="J683" s="28">
        <f>IF($E683=0,$I683,WORKDAY(Settings!$D$13,ROUNDUP($H683/HoursPerDay,0),Holidays))</f>
        <v>46353</v>
      </c>
    </row>
    <row r="684" spans="1:10" x14ac:dyDescent="0.25">
      <c r="A684" s="25" t="s">
        <v>12</v>
      </c>
      <c r="B684" s="25" t="s">
        <v>79</v>
      </c>
      <c r="C684" s="25" t="s">
        <v>54</v>
      </c>
      <c r="D684" s="25" t="s">
        <v>51</v>
      </c>
      <c r="E684" s="26">
        <v>4</v>
      </c>
      <c r="F684" s="25" t="s">
        <v>78</v>
      </c>
      <c r="G684" s="27">
        <f>$H$683</f>
        <v>92</v>
      </c>
      <c r="H684" s="27">
        <f>$G684+$E684</f>
        <v>96</v>
      </c>
      <c r="I684" s="28">
        <f>WORKDAY(Settings!$D$13,INT($G684/HoursPerDay)+1,Holidays)</f>
        <v>46353</v>
      </c>
      <c r="J684" s="28">
        <f>IF($E684=0,$I684,WORKDAY(Settings!$D$13,ROUNDUP($H684/HoursPerDay,0),Holidays))</f>
        <v>46353</v>
      </c>
    </row>
    <row r="685" spans="1:10" x14ac:dyDescent="0.25">
      <c r="A685" s="25" t="s">
        <v>12</v>
      </c>
      <c r="B685" s="25" t="s">
        <v>80</v>
      </c>
      <c r="C685" s="25" t="s">
        <v>56</v>
      </c>
      <c r="D685" s="25" t="s">
        <v>51</v>
      </c>
      <c r="E685" s="26">
        <v>5</v>
      </c>
      <c r="F685" s="25" t="s">
        <v>561</v>
      </c>
      <c r="G685" s="27">
        <f>$H$676</f>
        <v>22</v>
      </c>
      <c r="H685" s="27">
        <f>$G685+$E685</f>
        <v>27</v>
      </c>
      <c r="I685" s="28">
        <f>WORKDAY(Settings!$D$13,INT($G685/HoursPerDay)+1,Holidays)</f>
        <v>46339</v>
      </c>
      <c r="J685" s="28">
        <f>IF($E685=0,$I685,WORKDAY(Settings!$D$13,ROUNDUP($H685/HoursPerDay,0),Holidays))</f>
        <v>46339</v>
      </c>
    </row>
    <row r="686" spans="1:10" x14ac:dyDescent="0.25">
      <c r="A686" s="25" t="s">
        <v>12</v>
      </c>
      <c r="B686" s="25" t="s">
        <v>81</v>
      </c>
      <c r="C686" s="25" t="s">
        <v>59</v>
      </c>
      <c r="D686" s="25" t="s">
        <v>51</v>
      </c>
      <c r="E686" s="26">
        <v>4</v>
      </c>
      <c r="F686" s="25" t="s">
        <v>60</v>
      </c>
      <c r="G686" s="27">
        <f>$H$680</f>
        <v>4</v>
      </c>
      <c r="H686" s="27">
        <f>$G686+$E686</f>
        <v>8</v>
      </c>
      <c r="I686" s="28">
        <f>WORKDAY(Settings!$D$13,INT($G686/HoursPerDay)+1,Holidays)</f>
        <v>46336</v>
      </c>
      <c r="J686" s="28">
        <f>IF($E686=0,$I686,WORKDAY(Settings!$D$13,ROUNDUP($H686/HoursPerDay,0),Holidays))</f>
        <v>46337</v>
      </c>
    </row>
    <row r="687" spans="1:10" x14ac:dyDescent="0.25">
      <c r="A687" s="22" t="s">
        <v>12</v>
      </c>
      <c r="B687" s="22" t="s">
        <v>82</v>
      </c>
      <c r="C687" s="22" t="s">
        <v>605</v>
      </c>
      <c r="D687" s="22" t="s">
        <v>48</v>
      </c>
      <c r="E687" s="23">
        <f>SUMIF($D688:$D691,"Task",$E688:$E691)</f>
        <v>21</v>
      </c>
      <c r="F687" s="22"/>
      <c r="G687" s="23"/>
      <c r="H687" s="23"/>
      <c r="I687" s="24">
        <f>MIN($I688:$I691)</f>
        <v>46337</v>
      </c>
      <c r="J687" s="24">
        <f>MAX($J688:$J691)</f>
        <v>46356</v>
      </c>
    </row>
    <row r="688" spans="1:10" x14ac:dyDescent="0.25">
      <c r="A688" s="25" t="s">
        <v>12</v>
      </c>
      <c r="B688" s="25" t="s">
        <v>84</v>
      </c>
      <c r="C688" s="25" t="s">
        <v>50</v>
      </c>
      <c r="D688" s="25" t="s">
        <v>51</v>
      </c>
      <c r="E688" s="26">
        <v>3</v>
      </c>
      <c r="F688" s="25" t="s">
        <v>78</v>
      </c>
      <c r="G688" s="27">
        <f>$H$684</f>
        <v>96</v>
      </c>
      <c r="H688" s="27">
        <f>$G688+$E688</f>
        <v>99</v>
      </c>
      <c r="I688" s="28">
        <f>WORKDAY(Settings!$D$13,INT($G688/HoursPerDay)+1,Holidays)</f>
        <v>46353</v>
      </c>
      <c r="J688" s="28">
        <f>IF($E688=0,$I688,WORKDAY(Settings!$D$13,ROUNDUP($H688/HoursPerDay,0),Holidays))</f>
        <v>46356</v>
      </c>
    </row>
    <row r="689" spans="1:10" x14ac:dyDescent="0.25">
      <c r="A689" s="25" t="s">
        <v>12</v>
      </c>
      <c r="B689" s="25" t="s">
        <v>85</v>
      </c>
      <c r="C689" s="25" t="s">
        <v>54</v>
      </c>
      <c r="D689" s="25" t="s">
        <v>51</v>
      </c>
      <c r="E689" s="26">
        <v>6</v>
      </c>
      <c r="F689" s="25" t="s">
        <v>78</v>
      </c>
      <c r="G689" s="27">
        <f>$H$688</f>
        <v>99</v>
      </c>
      <c r="H689" s="27">
        <f>$G689+$E689</f>
        <v>105</v>
      </c>
      <c r="I689" s="28">
        <f>WORKDAY(Settings!$D$13,INT($G689/HoursPerDay)+1,Holidays)</f>
        <v>46356</v>
      </c>
      <c r="J689" s="28">
        <f>IF($E689=0,$I689,WORKDAY(Settings!$D$13,ROUNDUP($H689/HoursPerDay,0),Holidays))</f>
        <v>46356</v>
      </c>
    </row>
    <row r="690" spans="1:10" x14ac:dyDescent="0.25">
      <c r="A690" s="25" t="s">
        <v>12</v>
      </c>
      <c r="B690" s="25" t="s">
        <v>86</v>
      </c>
      <c r="C690" s="25" t="s">
        <v>56</v>
      </c>
      <c r="D690" s="25" t="s">
        <v>51</v>
      </c>
      <c r="E690" s="26">
        <v>6</v>
      </c>
      <c r="F690" s="25" t="s">
        <v>57</v>
      </c>
      <c r="G690" s="27">
        <f>$H$679</f>
        <v>52</v>
      </c>
      <c r="H690" s="27">
        <f>$G690+$E690</f>
        <v>58</v>
      </c>
      <c r="I690" s="28">
        <f>WORKDAY(Settings!$D$13,INT($G690/HoursPerDay)+1,Holidays)</f>
        <v>46345</v>
      </c>
      <c r="J690" s="28">
        <f>IF($E690=0,$I690,WORKDAY(Settings!$D$13,ROUNDUP($H690/HoursPerDay,0),Holidays))</f>
        <v>46346</v>
      </c>
    </row>
    <row r="691" spans="1:10" x14ac:dyDescent="0.25">
      <c r="A691" s="25" t="s">
        <v>12</v>
      </c>
      <c r="B691" s="25" t="s">
        <v>87</v>
      </c>
      <c r="C691" s="25" t="s">
        <v>59</v>
      </c>
      <c r="D691" s="25" t="s">
        <v>51</v>
      </c>
      <c r="E691" s="26">
        <v>6</v>
      </c>
      <c r="F691" s="25" t="s">
        <v>60</v>
      </c>
      <c r="G691" s="27">
        <f>$H$686</f>
        <v>8</v>
      </c>
      <c r="H691" s="27">
        <f>$G691+$E691</f>
        <v>14</v>
      </c>
      <c r="I691" s="28">
        <f>WORKDAY(Settings!$D$13,INT($G691/HoursPerDay)+1,Holidays)</f>
        <v>46337</v>
      </c>
      <c r="J691" s="28">
        <f>IF($E691=0,$I691,WORKDAY(Settings!$D$13,ROUNDUP($H691/HoursPerDay,0),Holidays))</f>
        <v>46337</v>
      </c>
    </row>
    <row r="692" spans="1:10" x14ac:dyDescent="0.25">
      <c r="A692" s="22" t="s">
        <v>12</v>
      </c>
      <c r="B692" s="22" t="s">
        <v>88</v>
      </c>
      <c r="C692" s="22" t="s">
        <v>606</v>
      </c>
      <c r="D692" s="22" t="s">
        <v>48</v>
      </c>
      <c r="E692" s="23">
        <f>SUMIF($D693:$D696,"Task",$E693:$E696)</f>
        <v>14</v>
      </c>
      <c r="F692" s="22"/>
      <c r="G692" s="23"/>
      <c r="H692" s="23"/>
      <c r="I692" s="24">
        <f>MIN($I693:$I696)</f>
        <v>46338</v>
      </c>
      <c r="J692" s="24">
        <f>MAX($J693:$J696)</f>
        <v>46357</v>
      </c>
    </row>
    <row r="693" spans="1:10" x14ac:dyDescent="0.25">
      <c r="A693" s="25" t="s">
        <v>12</v>
      </c>
      <c r="B693" s="25" t="s">
        <v>90</v>
      </c>
      <c r="C693" s="25" t="s">
        <v>50</v>
      </c>
      <c r="D693" s="25" t="s">
        <v>51</v>
      </c>
      <c r="E693" s="26">
        <v>2</v>
      </c>
      <c r="F693" s="25" t="s">
        <v>78</v>
      </c>
      <c r="G693" s="27">
        <f>$H$689</f>
        <v>105</v>
      </c>
      <c r="H693" s="27">
        <f>$G693+$E693</f>
        <v>107</v>
      </c>
      <c r="I693" s="28">
        <f>WORKDAY(Settings!$D$13,INT($G693/HoursPerDay)+1,Holidays)</f>
        <v>46357</v>
      </c>
      <c r="J693" s="28">
        <f>IF($E693=0,$I693,WORKDAY(Settings!$D$13,ROUNDUP($H693/HoursPerDay,0),Holidays))</f>
        <v>46357</v>
      </c>
    </row>
    <row r="694" spans="1:10" x14ac:dyDescent="0.25">
      <c r="A694" s="25" t="s">
        <v>12</v>
      </c>
      <c r="B694" s="25" t="s">
        <v>91</v>
      </c>
      <c r="C694" s="25" t="s">
        <v>54</v>
      </c>
      <c r="D694" s="25" t="s">
        <v>51</v>
      </c>
      <c r="E694" s="26">
        <v>4</v>
      </c>
      <c r="F694" s="25" t="s">
        <v>78</v>
      </c>
      <c r="G694" s="27">
        <f>$H$693</f>
        <v>107</v>
      </c>
      <c r="H694" s="27">
        <f>$G694+$E694</f>
        <v>111</v>
      </c>
      <c r="I694" s="28">
        <f>WORKDAY(Settings!$D$13,INT($G694/HoursPerDay)+1,Holidays)</f>
        <v>46357</v>
      </c>
      <c r="J694" s="28">
        <f>IF($E694=0,$I694,WORKDAY(Settings!$D$13,ROUNDUP($H694/HoursPerDay,0),Holidays))</f>
        <v>46357</v>
      </c>
    </row>
    <row r="695" spans="1:10" x14ac:dyDescent="0.25">
      <c r="A695" s="25" t="s">
        <v>12</v>
      </c>
      <c r="B695" s="25" t="s">
        <v>92</v>
      </c>
      <c r="C695" s="25" t="s">
        <v>56</v>
      </c>
      <c r="D695" s="25" t="s">
        <v>51</v>
      </c>
      <c r="E695" s="26">
        <v>4</v>
      </c>
      <c r="F695" s="25" t="s">
        <v>57</v>
      </c>
      <c r="G695" s="27">
        <f>$H$690</f>
        <v>58</v>
      </c>
      <c r="H695" s="27">
        <f>$G695+$E695</f>
        <v>62</v>
      </c>
      <c r="I695" s="28">
        <f>WORKDAY(Settings!$D$13,INT($G695/HoursPerDay)+1,Holidays)</f>
        <v>46346</v>
      </c>
      <c r="J695" s="28">
        <f>IF($E695=0,$I695,WORKDAY(Settings!$D$13,ROUNDUP($H695/HoursPerDay,0),Holidays))</f>
        <v>46346</v>
      </c>
    </row>
    <row r="696" spans="1:10" x14ac:dyDescent="0.25">
      <c r="A696" s="25" t="s">
        <v>12</v>
      </c>
      <c r="B696" s="25" t="s">
        <v>457</v>
      </c>
      <c r="C696" s="25" t="s">
        <v>59</v>
      </c>
      <c r="D696" s="25" t="s">
        <v>51</v>
      </c>
      <c r="E696" s="26">
        <v>4</v>
      </c>
      <c r="F696" s="25" t="s">
        <v>60</v>
      </c>
      <c r="G696" s="27">
        <f>$H$691</f>
        <v>14</v>
      </c>
      <c r="H696" s="27">
        <f>$G696+$E696</f>
        <v>18</v>
      </c>
      <c r="I696" s="28">
        <f>WORKDAY(Settings!$D$13,INT($G696/HoursPerDay)+1,Holidays)</f>
        <v>46338</v>
      </c>
      <c r="J696" s="28">
        <f>IF($E696=0,$I696,WORKDAY(Settings!$D$13,ROUNDUP($H696/HoursPerDay,0),Holidays))</f>
        <v>46338</v>
      </c>
    </row>
    <row r="697" spans="1:10" x14ac:dyDescent="0.25">
      <c r="A697" s="22" t="s">
        <v>12</v>
      </c>
      <c r="B697" s="22" t="s">
        <v>93</v>
      </c>
      <c r="C697" s="22" t="s">
        <v>607</v>
      </c>
      <c r="D697" s="22" t="s">
        <v>48</v>
      </c>
      <c r="E697" s="23">
        <f>SUMIF($D698:$D701,"Task",$E698:$E701)</f>
        <v>14</v>
      </c>
      <c r="F697" s="22"/>
      <c r="G697" s="23"/>
      <c r="H697" s="23"/>
      <c r="I697" s="24">
        <f>MIN($I698:$I701)</f>
        <v>46338</v>
      </c>
      <c r="J697" s="24">
        <f>MAX($J698:$J701)</f>
        <v>46358</v>
      </c>
    </row>
    <row r="698" spans="1:10" x14ac:dyDescent="0.25">
      <c r="A698" s="25" t="s">
        <v>12</v>
      </c>
      <c r="B698" s="25" t="s">
        <v>95</v>
      </c>
      <c r="C698" s="25" t="s">
        <v>50</v>
      </c>
      <c r="D698" s="25" t="s">
        <v>51</v>
      </c>
      <c r="E698" s="26">
        <v>2</v>
      </c>
      <c r="F698" s="25" t="s">
        <v>78</v>
      </c>
      <c r="G698" s="27">
        <f>$H$694</f>
        <v>111</v>
      </c>
      <c r="H698" s="27">
        <f>$G698+$E698</f>
        <v>113</v>
      </c>
      <c r="I698" s="28">
        <f>WORKDAY(Settings!$D$13,INT($G698/HoursPerDay)+1,Holidays)</f>
        <v>46357</v>
      </c>
      <c r="J698" s="28">
        <f>IF($E698=0,$I698,WORKDAY(Settings!$D$13,ROUNDUP($H698/HoursPerDay,0),Holidays))</f>
        <v>46358</v>
      </c>
    </row>
    <row r="699" spans="1:10" x14ac:dyDescent="0.25">
      <c r="A699" s="25" t="s">
        <v>12</v>
      </c>
      <c r="B699" s="25" t="s">
        <v>96</v>
      </c>
      <c r="C699" s="25" t="s">
        <v>54</v>
      </c>
      <c r="D699" s="25" t="s">
        <v>51</v>
      </c>
      <c r="E699" s="26">
        <v>4</v>
      </c>
      <c r="F699" s="25" t="s">
        <v>78</v>
      </c>
      <c r="G699" s="27">
        <f>$H$698</f>
        <v>113</v>
      </c>
      <c r="H699" s="27">
        <f>$G699+$E699</f>
        <v>117</v>
      </c>
      <c r="I699" s="28">
        <f>WORKDAY(Settings!$D$13,INT($G699/HoursPerDay)+1,Holidays)</f>
        <v>46358</v>
      </c>
      <c r="J699" s="28">
        <f>IF($E699=0,$I699,WORKDAY(Settings!$D$13,ROUNDUP($H699/HoursPerDay,0),Holidays))</f>
        <v>46358</v>
      </c>
    </row>
    <row r="700" spans="1:10" x14ac:dyDescent="0.25">
      <c r="A700" s="25" t="s">
        <v>12</v>
      </c>
      <c r="B700" s="25" t="s">
        <v>97</v>
      </c>
      <c r="C700" s="25" t="s">
        <v>56</v>
      </c>
      <c r="D700" s="25" t="s">
        <v>51</v>
      </c>
      <c r="E700" s="26">
        <v>4</v>
      </c>
      <c r="F700" s="25" t="s">
        <v>561</v>
      </c>
      <c r="G700" s="27">
        <f>$H$685</f>
        <v>27</v>
      </c>
      <c r="H700" s="27">
        <f>$G700+$E700</f>
        <v>31</v>
      </c>
      <c r="I700" s="28">
        <f>WORKDAY(Settings!$D$13,INT($G700/HoursPerDay)+1,Holidays)</f>
        <v>46339</v>
      </c>
      <c r="J700" s="28">
        <f>IF($E700=0,$I700,WORKDAY(Settings!$D$13,ROUNDUP($H700/HoursPerDay,0),Holidays))</f>
        <v>46342</v>
      </c>
    </row>
    <row r="701" spans="1:10" x14ac:dyDescent="0.25">
      <c r="A701" s="25" t="s">
        <v>12</v>
      </c>
      <c r="B701" s="25" t="s">
        <v>98</v>
      </c>
      <c r="C701" s="25" t="s">
        <v>59</v>
      </c>
      <c r="D701" s="25" t="s">
        <v>51</v>
      </c>
      <c r="E701" s="26">
        <v>4</v>
      </c>
      <c r="F701" s="25" t="s">
        <v>60</v>
      </c>
      <c r="G701" s="27">
        <f>$H$696</f>
        <v>18</v>
      </c>
      <c r="H701" s="27">
        <f>$G701+$E701</f>
        <v>22</v>
      </c>
      <c r="I701" s="28">
        <f>WORKDAY(Settings!$D$13,INT($G701/HoursPerDay)+1,Holidays)</f>
        <v>46338</v>
      </c>
      <c r="J701" s="28">
        <f>IF($E701=0,$I701,WORKDAY(Settings!$D$13,ROUNDUP($H701/HoursPerDay,0),Holidays))</f>
        <v>46339</v>
      </c>
    </row>
    <row r="702" spans="1:10" x14ac:dyDescent="0.25">
      <c r="A702" s="22" t="s">
        <v>12</v>
      </c>
      <c r="B702" s="22" t="s">
        <v>99</v>
      </c>
      <c r="C702" s="22" t="s">
        <v>608</v>
      </c>
      <c r="D702" s="22" t="s">
        <v>48</v>
      </c>
      <c r="E702" s="23">
        <f>SUMIF($D703:$D705,"Task",$E703:$E705)</f>
        <v>12</v>
      </c>
      <c r="F702" s="22"/>
      <c r="G702" s="23"/>
      <c r="H702" s="23"/>
      <c r="I702" s="24">
        <f>MIN($I703:$I705)</f>
        <v>46337</v>
      </c>
      <c r="J702" s="24">
        <f>MAX($J703:$J705)</f>
        <v>46349</v>
      </c>
    </row>
    <row r="703" spans="1:10" x14ac:dyDescent="0.25">
      <c r="A703" s="25" t="s">
        <v>12</v>
      </c>
      <c r="B703" s="25" t="s">
        <v>101</v>
      </c>
      <c r="C703" s="25" t="s">
        <v>54</v>
      </c>
      <c r="D703" s="25" t="s">
        <v>51</v>
      </c>
      <c r="E703" s="26">
        <v>4</v>
      </c>
      <c r="F703" s="25" t="s">
        <v>52</v>
      </c>
      <c r="G703" s="27">
        <f>$H$678</f>
        <v>8</v>
      </c>
      <c r="H703" s="27">
        <f>$G703+$E703</f>
        <v>12</v>
      </c>
      <c r="I703" s="28">
        <f>WORKDAY(Settings!$D$13,INT($G703/HoursPerDay)+1,Holidays)</f>
        <v>46337</v>
      </c>
      <c r="J703" s="28">
        <f>IF($E703=0,$I703,WORKDAY(Settings!$D$13,ROUNDUP($H703/HoursPerDay,0),Holidays))</f>
        <v>46337</v>
      </c>
    </row>
    <row r="704" spans="1:10" x14ac:dyDescent="0.25">
      <c r="A704" s="25" t="s">
        <v>12</v>
      </c>
      <c r="B704" s="25" t="s">
        <v>102</v>
      </c>
      <c r="C704" s="25" t="s">
        <v>56</v>
      </c>
      <c r="D704" s="25" t="s">
        <v>51</v>
      </c>
      <c r="E704" s="26">
        <v>4</v>
      </c>
      <c r="F704" s="25" t="s">
        <v>57</v>
      </c>
      <c r="G704" s="27">
        <f>$H$695</f>
        <v>62</v>
      </c>
      <c r="H704" s="27">
        <f>$G704+$E704</f>
        <v>66</v>
      </c>
      <c r="I704" s="28">
        <f>WORKDAY(Settings!$D$13,INT($G704/HoursPerDay)+1,Holidays)</f>
        <v>46346</v>
      </c>
      <c r="J704" s="28">
        <f>IF($E704=0,$I704,WORKDAY(Settings!$D$13,ROUNDUP($H704/HoursPerDay,0),Holidays))</f>
        <v>46349</v>
      </c>
    </row>
    <row r="705" spans="1:10" x14ac:dyDescent="0.25">
      <c r="A705" s="25" t="s">
        <v>12</v>
      </c>
      <c r="B705" s="25" t="s">
        <v>103</v>
      </c>
      <c r="C705" s="25" t="s">
        <v>59</v>
      </c>
      <c r="D705" s="25" t="s">
        <v>51</v>
      </c>
      <c r="E705" s="26">
        <v>4</v>
      </c>
      <c r="F705" s="25" t="s">
        <v>60</v>
      </c>
      <c r="G705" s="27">
        <f>$H$701</f>
        <v>22</v>
      </c>
      <c r="H705" s="27">
        <f>$G705+$E705</f>
        <v>26</v>
      </c>
      <c r="I705" s="28">
        <f>WORKDAY(Settings!$D$13,INT($G705/HoursPerDay)+1,Holidays)</f>
        <v>46339</v>
      </c>
      <c r="J705" s="28">
        <f>IF($E705=0,$I705,WORKDAY(Settings!$D$13,ROUNDUP($H705/HoursPerDay,0),Holidays))</f>
        <v>46339</v>
      </c>
    </row>
    <row r="706" spans="1:10" x14ac:dyDescent="0.25">
      <c r="A706" s="19" t="s">
        <v>12</v>
      </c>
      <c r="B706" s="19" t="s">
        <v>136</v>
      </c>
      <c r="C706" s="19" t="s">
        <v>609</v>
      </c>
      <c r="D706" s="19" t="s">
        <v>45</v>
      </c>
      <c r="E706" s="20">
        <f>SUMIF($D707:$D753,"Task",$E707:$E753)</f>
        <v>155</v>
      </c>
      <c r="F706" s="19"/>
      <c r="G706" s="20"/>
      <c r="H706" s="20"/>
      <c r="I706" s="21">
        <f>MIN($I707:$I753)</f>
        <v>46337</v>
      </c>
      <c r="J706" s="21">
        <f>MAX($J707:$J753)</f>
        <v>46370</v>
      </c>
    </row>
    <row r="707" spans="1:10" x14ac:dyDescent="0.25">
      <c r="A707" s="22" t="s">
        <v>12</v>
      </c>
      <c r="B707" s="22" t="s">
        <v>138</v>
      </c>
      <c r="C707" s="22" t="s">
        <v>610</v>
      </c>
      <c r="D707" s="22" t="s">
        <v>48</v>
      </c>
      <c r="E707" s="23">
        <f>SUMIF($D708:$D711,"Task",$E708:$E711)</f>
        <v>14</v>
      </c>
      <c r="F707" s="22"/>
      <c r="G707" s="23"/>
      <c r="H707" s="23"/>
      <c r="I707" s="24">
        <f>MIN($I708:$I711)</f>
        <v>46339</v>
      </c>
      <c r="J707" s="24">
        <f>MAX($J708:$J711)</f>
        <v>46359</v>
      </c>
    </row>
    <row r="708" spans="1:10" x14ac:dyDescent="0.25">
      <c r="A708" s="25" t="s">
        <v>12</v>
      </c>
      <c r="B708" s="25" t="s">
        <v>140</v>
      </c>
      <c r="C708" s="25" t="s">
        <v>50</v>
      </c>
      <c r="D708" s="25" t="s">
        <v>51</v>
      </c>
      <c r="E708" s="26">
        <v>2</v>
      </c>
      <c r="F708" s="25" t="s">
        <v>78</v>
      </c>
      <c r="G708" s="27">
        <f>$H$699</f>
        <v>117</v>
      </c>
      <c r="H708" s="27">
        <f>$G708+$E708</f>
        <v>119</v>
      </c>
      <c r="I708" s="28">
        <f>WORKDAY(Settings!$D$13,INT($G708/HoursPerDay)+1,Holidays)</f>
        <v>46358</v>
      </c>
      <c r="J708" s="28">
        <f>IF($E708=0,$I708,WORKDAY(Settings!$D$13,ROUNDUP($H708/HoursPerDay,0),Holidays))</f>
        <v>46358</v>
      </c>
    </row>
    <row r="709" spans="1:10" x14ac:dyDescent="0.25">
      <c r="A709" s="25" t="s">
        <v>12</v>
      </c>
      <c r="B709" s="25" t="s">
        <v>141</v>
      </c>
      <c r="C709" s="25" t="s">
        <v>54</v>
      </c>
      <c r="D709" s="25" t="s">
        <v>51</v>
      </c>
      <c r="E709" s="26">
        <v>4</v>
      </c>
      <c r="F709" s="25" t="s">
        <v>78</v>
      </c>
      <c r="G709" s="27">
        <f>$H$708</f>
        <v>119</v>
      </c>
      <c r="H709" s="27">
        <f>$G709+$E709</f>
        <v>123</v>
      </c>
      <c r="I709" s="28">
        <f>WORKDAY(Settings!$D$13,INT($G709/HoursPerDay)+1,Holidays)</f>
        <v>46359</v>
      </c>
      <c r="J709" s="28">
        <f>IF($E709=0,$I709,WORKDAY(Settings!$D$13,ROUNDUP($H709/HoursPerDay,0),Holidays))</f>
        <v>46359</v>
      </c>
    </row>
    <row r="710" spans="1:10" x14ac:dyDescent="0.25">
      <c r="A710" s="25" t="s">
        <v>12</v>
      </c>
      <c r="B710" s="25" t="s">
        <v>142</v>
      </c>
      <c r="C710" s="25" t="s">
        <v>56</v>
      </c>
      <c r="D710" s="25" t="s">
        <v>51</v>
      </c>
      <c r="E710" s="26">
        <v>4</v>
      </c>
      <c r="F710" s="25" t="s">
        <v>57</v>
      </c>
      <c r="G710" s="27">
        <f>$H$704</f>
        <v>66</v>
      </c>
      <c r="H710" s="27">
        <f>$G710+$E710</f>
        <v>70</v>
      </c>
      <c r="I710" s="28">
        <f>WORKDAY(Settings!$D$13,INT($G710/HoursPerDay)+1,Holidays)</f>
        <v>46349</v>
      </c>
      <c r="J710" s="28">
        <f>IF($E710=0,$I710,WORKDAY(Settings!$D$13,ROUNDUP($H710/HoursPerDay,0),Holidays))</f>
        <v>46349</v>
      </c>
    </row>
    <row r="711" spans="1:10" x14ac:dyDescent="0.25">
      <c r="A711" s="25" t="s">
        <v>12</v>
      </c>
      <c r="B711" s="25" t="s">
        <v>143</v>
      </c>
      <c r="C711" s="25" t="s">
        <v>59</v>
      </c>
      <c r="D711" s="25" t="s">
        <v>51</v>
      </c>
      <c r="E711" s="26">
        <v>4</v>
      </c>
      <c r="F711" s="25" t="s">
        <v>60</v>
      </c>
      <c r="G711" s="27">
        <f>$H$705</f>
        <v>26</v>
      </c>
      <c r="H711" s="27">
        <f>$G711+$E711</f>
        <v>30</v>
      </c>
      <c r="I711" s="28">
        <f>WORKDAY(Settings!$D$13,INT($G711/HoursPerDay)+1,Holidays)</f>
        <v>46339</v>
      </c>
      <c r="J711" s="28">
        <f>IF($E711=0,$I711,WORKDAY(Settings!$D$13,ROUNDUP($H711/HoursPerDay,0),Holidays))</f>
        <v>46342</v>
      </c>
    </row>
    <row r="712" spans="1:10" x14ac:dyDescent="0.25">
      <c r="A712" s="22" t="s">
        <v>12</v>
      </c>
      <c r="B712" s="22" t="s">
        <v>144</v>
      </c>
      <c r="C712" s="22" t="s">
        <v>611</v>
      </c>
      <c r="D712" s="22" t="s">
        <v>48</v>
      </c>
      <c r="E712" s="23">
        <f>SUMIF($D713:$D716,"Task",$E713:$E716)</f>
        <v>14</v>
      </c>
      <c r="F712" s="22"/>
      <c r="G712" s="23"/>
      <c r="H712" s="23"/>
      <c r="I712" s="24">
        <f>MIN($I713:$I716)</f>
        <v>46342</v>
      </c>
      <c r="J712" s="24">
        <f>MAX($J713:$J716)</f>
        <v>46360</v>
      </c>
    </row>
    <row r="713" spans="1:10" x14ac:dyDescent="0.25">
      <c r="A713" s="25" t="s">
        <v>12</v>
      </c>
      <c r="B713" s="25" t="s">
        <v>612</v>
      </c>
      <c r="C713" s="25" t="s">
        <v>50</v>
      </c>
      <c r="D713" s="25" t="s">
        <v>51</v>
      </c>
      <c r="E713" s="26">
        <v>2</v>
      </c>
      <c r="F713" s="25" t="s">
        <v>78</v>
      </c>
      <c r="G713" s="27">
        <f>$H$709</f>
        <v>123</v>
      </c>
      <c r="H713" s="27">
        <f>$G713+$E713</f>
        <v>125</v>
      </c>
      <c r="I713" s="28">
        <f>WORKDAY(Settings!$D$13,INT($G713/HoursPerDay)+1,Holidays)</f>
        <v>46359</v>
      </c>
      <c r="J713" s="28">
        <f>IF($E713=0,$I713,WORKDAY(Settings!$D$13,ROUNDUP($H713/HoursPerDay,0),Holidays))</f>
        <v>46359</v>
      </c>
    </row>
    <row r="714" spans="1:10" x14ac:dyDescent="0.25">
      <c r="A714" s="25" t="s">
        <v>12</v>
      </c>
      <c r="B714" s="25" t="s">
        <v>146</v>
      </c>
      <c r="C714" s="25" t="s">
        <v>54</v>
      </c>
      <c r="D714" s="25" t="s">
        <v>51</v>
      </c>
      <c r="E714" s="26">
        <v>4</v>
      </c>
      <c r="F714" s="25" t="s">
        <v>78</v>
      </c>
      <c r="G714" s="27">
        <f>$H$713</f>
        <v>125</v>
      </c>
      <c r="H714" s="27">
        <f>$G714+$E714</f>
        <v>129</v>
      </c>
      <c r="I714" s="28">
        <f>WORKDAY(Settings!$D$13,INT($G714/HoursPerDay)+1,Holidays)</f>
        <v>46359</v>
      </c>
      <c r="J714" s="28">
        <f>IF($E714=0,$I714,WORKDAY(Settings!$D$13,ROUNDUP($H714/HoursPerDay,0),Holidays))</f>
        <v>46360</v>
      </c>
    </row>
    <row r="715" spans="1:10" x14ac:dyDescent="0.25">
      <c r="A715" s="25" t="s">
        <v>12</v>
      </c>
      <c r="B715" s="25" t="s">
        <v>147</v>
      </c>
      <c r="C715" s="25" t="s">
        <v>56</v>
      </c>
      <c r="D715" s="25" t="s">
        <v>51</v>
      </c>
      <c r="E715" s="26">
        <v>4</v>
      </c>
      <c r="F715" s="25" t="s">
        <v>561</v>
      </c>
      <c r="G715" s="27">
        <f>$H$700</f>
        <v>31</v>
      </c>
      <c r="H715" s="27">
        <f>$G715+$E715</f>
        <v>35</v>
      </c>
      <c r="I715" s="28">
        <f>WORKDAY(Settings!$D$13,INT($G715/HoursPerDay)+1,Holidays)</f>
        <v>46342</v>
      </c>
      <c r="J715" s="28">
        <f>IF($E715=0,$I715,WORKDAY(Settings!$D$13,ROUNDUP($H715/HoursPerDay,0),Holidays))</f>
        <v>46342</v>
      </c>
    </row>
    <row r="716" spans="1:10" x14ac:dyDescent="0.25">
      <c r="A716" s="25" t="s">
        <v>12</v>
      </c>
      <c r="B716" s="25" t="s">
        <v>463</v>
      </c>
      <c r="C716" s="25" t="s">
        <v>59</v>
      </c>
      <c r="D716" s="25" t="s">
        <v>51</v>
      </c>
      <c r="E716" s="26">
        <v>4</v>
      </c>
      <c r="F716" s="25" t="s">
        <v>60</v>
      </c>
      <c r="G716" s="27">
        <f>$H$711</f>
        <v>30</v>
      </c>
      <c r="H716" s="27">
        <f>$G716+$E716</f>
        <v>34</v>
      </c>
      <c r="I716" s="28">
        <f>WORKDAY(Settings!$D$13,INT($G716/HoursPerDay)+1,Holidays)</f>
        <v>46342</v>
      </c>
      <c r="J716" s="28">
        <f>IF($E716=0,$I716,WORKDAY(Settings!$D$13,ROUNDUP($H716/HoursPerDay,0),Holidays))</f>
        <v>46342</v>
      </c>
    </row>
    <row r="717" spans="1:10" x14ac:dyDescent="0.25">
      <c r="A717" s="22" t="s">
        <v>12</v>
      </c>
      <c r="B717" s="22" t="s">
        <v>148</v>
      </c>
      <c r="C717" s="22" t="s">
        <v>613</v>
      </c>
      <c r="D717" s="22" t="s">
        <v>48</v>
      </c>
      <c r="E717" s="23">
        <f>SUMIF($D718:$D721,"Task",$E718:$E721)</f>
        <v>14</v>
      </c>
      <c r="F717" s="22"/>
      <c r="G717" s="23"/>
      <c r="H717" s="23"/>
      <c r="I717" s="24">
        <f>MIN($I718:$I721)</f>
        <v>46342</v>
      </c>
      <c r="J717" s="24">
        <f>MAX($J718:$J721)</f>
        <v>46363</v>
      </c>
    </row>
    <row r="718" spans="1:10" x14ac:dyDescent="0.25">
      <c r="A718" s="25" t="s">
        <v>12</v>
      </c>
      <c r="B718" s="25" t="s">
        <v>349</v>
      </c>
      <c r="C718" s="25" t="s">
        <v>50</v>
      </c>
      <c r="D718" s="25" t="s">
        <v>51</v>
      </c>
      <c r="E718" s="26">
        <v>2</v>
      </c>
      <c r="F718" s="25" t="s">
        <v>78</v>
      </c>
      <c r="G718" s="27">
        <f>$H$714</f>
        <v>129</v>
      </c>
      <c r="H718" s="27">
        <f>$G718+$E718</f>
        <v>131</v>
      </c>
      <c r="I718" s="28">
        <f>WORKDAY(Settings!$D$13,INT($G718/HoursPerDay)+1,Holidays)</f>
        <v>46360</v>
      </c>
      <c r="J718" s="28">
        <f>IF($E718=0,$I718,WORKDAY(Settings!$D$13,ROUNDUP($H718/HoursPerDay,0),Holidays))</f>
        <v>46360</v>
      </c>
    </row>
    <row r="719" spans="1:10" x14ac:dyDescent="0.25">
      <c r="A719" s="25" t="s">
        <v>12</v>
      </c>
      <c r="B719" s="25" t="s">
        <v>150</v>
      </c>
      <c r="C719" s="25" t="s">
        <v>54</v>
      </c>
      <c r="D719" s="25" t="s">
        <v>51</v>
      </c>
      <c r="E719" s="26">
        <v>4</v>
      </c>
      <c r="F719" s="25" t="s">
        <v>78</v>
      </c>
      <c r="G719" s="27">
        <f>$H$718</f>
        <v>131</v>
      </c>
      <c r="H719" s="27">
        <f>$G719+$E719</f>
        <v>135</v>
      </c>
      <c r="I719" s="28">
        <f>WORKDAY(Settings!$D$13,INT($G719/HoursPerDay)+1,Holidays)</f>
        <v>46360</v>
      </c>
      <c r="J719" s="28">
        <f>IF($E719=0,$I719,WORKDAY(Settings!$D$13,ROUNDUP($H719/HoursPerDay,0),Holidays))</f>
        <v>46363</v>
      </c>
    </row>
    <row r="720" spans="1:10" x14ac:dyDescent="0.25">
      <c r="A720" s="25" t="s">
        <v>12</v>
      </c>
      <c r="B720" s="25" t="s">
        <v>151</v>
      </c>
      <c r="C720" s="25" t="s">
        <v>56</v>
      </c>
      <c r="D720" s="25" t="s">
        <v>51</v>
      </c>
      <c r="E720" s="26">
        <v>4</v>
      </c>
      <c r="F720" s="25" t="s">
        <v>561</v>
      </c>
      <c r="G720" s="27">
        <f>$H$715</f>
        <v>35</v>
      </c>
      <c r="H720" s="27">
        <f>$G720+$E720</f>
        <v>39</v>
      </c>
      <c r="I720" s="28">
        <f>WORKDAY(Settings!$D$13,INT($G720/HoursPerDay)+1,Holidays)</f>
        <v>46343</v>
      </c>
      <c r="J720" s="28">
        <f>IF($E720=0,$I720,WORKDAY(Settings!$D$13,ROUNDUP($H720/HoursPerDay,0),Holidays))</f>
        <v>46343</v>
      </c>
    </row>
    <row r="721" spans="1:10" x14ac:dyDescent="0.25">
      <c r="A721" s="25" t="s">
        <v>12</v>
      </c>
      <c r="B721" s="25" t="s">
        <v>152</v>
      </c>
      <c r="C721" s="25" t="s">
        <v>59</v>
      </c>
      <c r="D721" s="25" t="s">
        <v>51</v>
      </c>
      <c r="E721" s="26">
        <v>4</v>
      </c>
      <c r="F721" s="25" t="s">
        <v>60</v>
      </c>
      <c r="G721" s="27">
        <f>$H$716</f>
        <v>34</v>
      </c>
      <c r="H721" s="27">
        <f>$G721+$E721</f>
        <v>38</v>
      </c>
      <c r="I721" s="28">
        <f>WORKDAY(Settings!$D$13,INT($G721/HoursPerDay)+1,Holidays)</f>
        <v>46342</v>
      </c>
      <c r="J721" s="28">
        <f>IF($E721=0,$I721,WORKDAY(Settings!$D$13,ROUNDUP($H721/HoursPerDay,0),Holidays))</f>
        <v>46343</v>
      </c>
    </row>
    <row r="722" spans="1:10" x14ac:dyDescent="0.25">
      <c r="A722" s="22" t="s">
        <v>12</v>
      </c>
      <c r="B722" s="22" t="s">
        <v>153</v>
      </c>
      <c r="C722" s="22" t="s">
        <v>614</v>
      </c>
      <c r="D722" s="22" t="s">
        <v>48</v>
      </c>
      <c r="E722" s="23">
        <f>SUMIF($D723:$D726,"Task",$E723:$E726)</f>
        <v>14</v>
      </c>
      <c r="F722" s="22"/>
      <c r="G722" s="23"/>
      <c r="H722" s="23"/>
      <c r="I722" s="24">
        <f>MIN($I723:$I726)</f>
        <v>46343</v>
      </c>
      <c r="J722" s="24">
        <f>MAX($J723:$J726)</f>
        <v>46364</v>
      </c>
    </row>
    <row r="723" spans="1:10" x14ac:dyDescent="0.25">
      <c r="A723" s="25" t="s">
        <v>12</v>
      </c>
      <c r="B723" s="25" t="s">
        <v>352</v>
      </c>
      <c r="C723" s="25" t="s">
        <v>50</v>
      </c>
      <c r="D723" s="25" t="s">
        <v>51</v>
      </c>
      <c r="E723" s="26">
        <v>2</v>
      </c>
      <c r="F723" s="25" t="s">
        <v>78</v>
      </c>
      <c r="G723" s="27">
        <f>$H$719</f>
        <v>135</v>
      </c>
      <c r="H723" s="27">
        <f>$G723+$E723</f>
        <v>137</v>
      </c>
      <c r="I723" s="28">
        <f>WORKDAY(Settings!$D$13,INT($G723/HoursPerDay)+1,Holidays)</f>
        <v>46363</v>
      </c>
      <c r="J723" s="28">
        <f>IF($E723=0,$I723,WORKDAY(Settings!$D$13,ROUNDUP($H723/HoursPerDay,0),Holidays))</f>
        <v>46363</v>
      </c>
    </row>
    <row r="724" spans="1:10" x14ac:dyDescent="0.25">
      <c r="A724" s="25" t="s">
        <v>12</v>
      </c>
      <c r="B724" s="25" t="s">
        <v>155</v>
      </c>
      <c r="C724" s="25" t="s">
        <v>54</v>
      </c>
      <c r="D724" s="25" t="s">
        <v>51</v>
      </c>
      <c r="E724" s="26">
        <v>4</v>
      </c>
      <c r="F724" s="25" t="s">
        <v>78</v>
      </c>
      <c r="G724" s="27">
        <f>$H$723</f>
        <v>137</v>
      </c>
      <c r="H724" s="27">
        <f>$G724+$E724</f>
        <v>141</v>
      </c>
      <c r="I724" s="28">
        <f>WORKDAY(Settings!$D$13,INT($G724/HoursPerDay)+1,Holidays)</f>
        <v>46363</v>
      </c>
      <c r="J724" s="28">
        <f>IF($E724=0,$I724,WORKDAY(Settings!$D$13,ROUNDUP($H724/HoursPerDay,0),Holidays))</f>
        <v>46364</v>
      </c>
    </row>
    <row r="725" spans="1:10" x14ac:dyDescent="0.25">
      <c r="A725" s="25" t="s">
        <v>12</v>
      </c>
      <c r="B725" s="25" t="s">
        <v>156</v>
      </c>
      <c r="C725" s="25" t="s">
        <v>56</v>
      </c>
      <c r="D725" s="25" t="s">
        <v>51</v>
      </c>
      <c r="E725" s="26">
        <v>4</v>
      </c>
      <c r="F725" s="25" t="s">
        <v>57</v>
      </c>
      <c r="G725" s="27">
        <f>$H$710</f>
        <v>70</v>
      </c>
      <c r="H725" s="27">
        <f>$G725+$E725</f>
        <v>74</v>
      </c>
      <c r="I725" s="28">
        <f>WORKDAY(Settings!$D$13,INT($G725/HoursPerDay)+1,Holidays)</f>
        <v>46350</v>
      </c>
      <c r="J725" s="28">
        <f>IF($E725=0,$I725,WORKDAY(Settings!$D$13,ROUNDUP($H725/HoursPerDay,0),Holidays))</f>
        <v>46350</v>
      </c>
    </row>
    <row r="726" spans="1:10" x14ac:dyDescent="0.25">
      <c r="A726" s="25" t="s">
        <v>12</v>
      </c>
      <c r="B726" s="25" t="s">
        <v>466</v>
      </c>
      <c r="C726" s="25" t="s">
        <v>59</v>
      </c>
      <c r="D726" s="25" t="s">
        <v>51</v>
      </c>
      <c r="E726" s="26">
        <v>4</v>
      </c>
      <c r="F726" s="25" t="s">
        <v>60</v>
      </c>
      <c r="G726" s="27">
        <f>$H$721</f>
        <v>38</v>
      </c>
      <c r="H726" s="27">
        <f>$G726+$E726</f>
        <v>42</v>
      </c>
      <c r="I726" s="28">
        <f>WORKDAY(Settings!$D$13,INT($G726/HoursPerDay)+1,Holidays)</f>
        <v>46343</v>
      </c>
      <c r="J726" s="28">
        <f>IF($E726=0,$I726,WORKDAY(Settings!$D$13,ROUNDUP($H726/HoursPerDay,0),Holidays))</f>
        <v>46343</v>
      </c>
    </row>
    <row r="727" spans="1:10" x14ac:dyDescent="0.25">
      <c r="A727" s="22" t="s">
        <v>12</v>
      </c>
      <c r="B727" s="22" t="s">
        <v>157</v>
      </c>
      <c r="C727" s="22" t="s">
        <v>615</v>
      </c>
      <c r="D727" s="22" t="s">
        <v>48</v>
      </c>
      <c r="E727" s="23">
        <f>SUMIF($D728:$D731,"Task",$E728:$E731)</f>
        <v>21</v>
      </c>
      <c r="F727" s="22"/>
      <c r="G727" s="23"/>
      <c r="H727" s="23"/>
      <c r="I727" s="24">
        <f>MIN($I728:$I731)</f>
        <v>46344</v>
      </c>
      <c r="J727" s="24">
        <f>MAX($J728:$J731)</f>
        <v>46365</v>
      </c>
    </row>
    <row r="728" spans="1:10" x14ac:dyDescent="0.25">
      <c r="A728" s="25" t="s">
        <v>12</v>
      </c>
      <c r="B728" s="25" t="s">
        <v>616</v>
      </c>
      <c r="C728" s="25" t="s">
        <v>50</v>
      </c>
      <c r="D728" s="25" t="s">
        <v>51</v>
      </c>
      <c r="E728" s="26">
        <v>3</v>
      </c>
      <c r="F728" s="25" t="s">
        <v>78</v>
      </c>
      <c r="G728" s="27">
        <f>$H$724</f>
        <v>141</v>
      </c>
      <c r="H728" s="27">
        <f>$G728+$E728</f>
        <v>144</v>
      </c>
      <c r="I728" s="28">
        <f>WORKDAY(Settings!$D$13,INT($G728/HoursPerDay)+1,Holidays)</f>
        <v>46364</v>
      </c>
      <c r="J728" s="28">
        <f>IF($E728=0,$I728,WORKDAY(Settings!$D$13,ROUNDUP($H728/HoursPerDay,0),Holidays))</f>
        <v>46364</v>
      </c>
    </row>
    <row r="729" spans="1:10" x14ac:dyDescent="0.25">
      <c r="A729" s="25" t="s">
        <v>12</v>
      </c>
      <c r="B729" s="25" t="s">
        <v>159</v>
      </c>
      <c r="C729" s="25" t="s">
        <v>54</v>
      </c>
      <c r="D729" s="25" t="s">
        <v>51</v>
      </c>
      <c r="E729" s="26">
        <v>6</v>
      </c>
      <c r="F729" s="25" t="s">
        <v>78</v>
      </c>
      <c r="G729" s="27">
        <f>$H$728</f>
        <v>144</v>
      </c>
      <c r="H729" s="27">
        <f>$G729+$E729</f>
        <v>150</v>
      </c>
      <c r="I729" s="28">
        <f>WORKDAY(Settings!$D$13,INT($G729/HoursPerDay)+1,Holidays)</f>
        <v>46364</v>
      </c>
      <c r="J729" s="28">
        <f>IF($E729=0,$I729,WORKDAY(Settings!$D$13,ROUNDUP($H729/HoursPerDay,0),Holidays))</f>
        <v>46365</v>
      </c>
    </row>
    <row r="730" spans="1:10" x14ac:dyDescent="0.25">
      <c r="A730" s="25" t="s">
        <v>12</v>
      </c>
      <c r="B730" s="25" t="s">
        <v>160</v>
      </c>
      <c r="C730" s="25" t="s">
        <v>56</v>
      </c>
      <c r="D730" s="25" t="s">
        <v>51</v>
      </c>
      <c r="E730" s="26">
        <v>6</v>
      </c>
      <c r="F730" s="25" t="s">
        <v>57</v>
      </c>
      <c r="G730" s="27">
        <f>$H$725</f>
        <v>74</v>
      </c>
      <c r="H730" s="27">
        <f>$G730+$E730</f>
        <v>80</v>
      </c>
      <c r="I730" s="28">
        <f>WORKDAY(Settings!$D$13,INT($G730/HoursPerDay)+1,Holidays)</f>
        <v>46350</v>
      </c>
      <c r="J730" s="28">
        <f>IF($E730=0,$I730,WORKDAY(Settings!$D$13,ROUNDUP($H730/HoursPerDay,0),Holidays))</f>
        <v>46351</v>
      </c>
    </row>
    <row r="731" spans="1:10" x14ac:dyDescent="0.25">
      <c r="A731" s="25" t="s">
        <v>12</v>
      </c>
      <c r="B731" s="25" t="s">
        <v>161</v>
      </c>
      <c r="C731" s="25" t="s">
        <v>59</v>
      </c>
      <c r="D731" s="25" t="s">
        <v>51</v>
      </c>
      <c r="E731" s="26">
        <v>6</v>
      </c>
      <c r="F731" s="25" t="s">
        <v>60</v>
      </c>
      <c r="G731" s="27">
        <f>$H$726</f>
        <v>42</v>
      </c>
      <c r="H731" s="27">
        <f>$G731+$E731</f>
        <v>48</v>
      </c>
      <c r="I731" s="28">
        <f>WORKDAY(Settings!$D$13,INT($G731/HoursPerDay)+1,Holidays)</f>
        <v>46344</v>
      </c>
      <c r="J731" s="28">
        <f>IF($E731=0,$I731,WORKDAY(Settings!$D$13,ROUNDUP($H731/HoursPerDay,0),Holidays))</f>
        <v>46344</v>
      </c>
    </row>
    <row r="732" spans="1:10" x14ac:dyDescent="0.25">
      <c r="A732" s="22" t="s">
        <v>12</v>
      </c>
      <c r="B732" s="22" t="s">
        <v>162</v>
      </c>
      <c r="C732" s="22" t="s">
        <v>617</v>
      </c>
      <c r="D732" s="22" t="s">
        <v>48</v>
      </c>
      <c r="E732" s="23">
        <f>SUMIF($D733:$D736,"Task",$E733:$E736)</f>
        <v>21</v>
      </c>
      <c r="F732" s="22"/>
      <c r="G732" s="23"/>
      <c r="H732" s="23"/>
      <c r="I732" s="24">
        <f>MIN($I733:$I736)</f>
        <v>46344</v>
      </c>
      <c r="J732" s="24">
        <f>MAX($J733:$J736)</f>
        <v>46366</v>
      </c>
    </row>
    <row r="733" spans="1:10" x14ac:dyDescent="0.25">
      <c r="A733" s="25" t="s">
        <v>12</v>
      </c>
      <c r="B733" s="25" t="s">
        <v>164</v>
      </c>
      <c r="C733" s="25" t="s">
        <v>50</v>
      </c>
      <c r="D733" s="25" t="s">
        <v>51</v>
      </c>
      <c r="E733" s="26">
        <v>3</v>
      </c>
      <c r="F733" s="25" t="s">
        <v>78</v>
      </c>
      <c r="G733" s="27">
        <f>$H$729</f>
        <v>150</v>
      </c>
      <c r="H733" s="27">
        <f>$G733+$E733</f>
        <v>153</v>
      </c>
      <c r="I733" s="28">
        <f>WORKDAY(Settings!$D$13,INT($G733/HoursPerDay)+1,Holidays)</f>
        <v>46365</v>
      </c>
      <c r="J733" s="28">
        <f>IF($E733=0,$I733,WORKDAY(Settings!$D$13,ROUNDUP($H733/HoursPerDay,0),Holidays))</f>
        <v>46365</v>
      </c>
    </row>
    <row r="734" spans="1:10" x14ac:dyDescent="0.25">
      <c r="A734" s="25" t="s">
        <v>12</v>
      </c>
      <c r="B734" s="25" t="s">
        <v>165</v>
      </c>
      <c r="C734" s="25" t="s">
        <v>54</v>
      </c>
      <c r="D734" s="25" t="s">
        <v>51</v>
      </c>
      <c r="E734" s="26">
        <v>6</v>
      </c>
      <c r="F734" s="25" t="s">
        <v>78</v>
      </c>
      <c r="G734" s="27">
        <f>$H$733</f>
        <v>153</v>
      </c>
      <c r="H734" s="27">
        <f>$G734+$E734</f>
        <v>159</v>
      </c>
      <c r="I734" s="28">
        <f>WORKDAY(Settings!$D$13,INT($G734/HoursPerDay)+1,Holidays)</f>
        <v>46365</v>
      </c>
      <c r="J734" s="28">
        <f>IF($E734=0,$I734,WORKDAY(Settings!$D$13,ROUNDUP($H734/HoursPerDay,0),Holidays))</f>
        <v>46366</v>
      </c>
    </row>
    <row r="735" spans="1:10" x14ac:dyDescent="0.25">
      <c r="A735" s="25" t="s">
        <v>12</v>
      </c>
      <c r="B735" s="25" t="s">
        <v>166</v>
      </c>
      <c r="C735" s="25" t="s">
        <v>56</v>
      </c>
      <c r="D735" s="25" t="s">
        <v>51</v>
      </c>
      <c r="E735" s="26">
        <v>6</v>
      </c>
      <c r="F735" s="25" t="s">
        <v>57</v>
      </c>
      <c r="G735" s="27">
        <f>$H$730</f>
        <v>80</v>
      </c>
      <c r="H735" s="27">
        <f>$G735+$E735</f>
        <v>86</v>
      </c>
      <c r="I735" s="28">
        <f>WORKDAY(Settings!$D$13,INT($G735/HoursPerDay)+1,Holidays)</f>
        <v>46351</v>
      </c>
      <c r="J735" s="28">
        <f>IF($E735=0,$I735,WORKDAY(Settings!$D$13,ROUNDUP($H735/HoursPerDay,0),Holidays))</f>
        <v>46352</v>
      </c>
    </row>
    <row r="736" spans="1:10" x14ac:dyDescent="0.25">
      <c r="A736" s="25" t="s">
        <v>12</v>
      </c>
      <c r="B736" s="25" t="s">
        <v>167</v>
      </c>
      <c r="C736" s="25" t="s">
        <v>59</v>
      </c>
      <c r="D736" s="25" t="s">
        <v>51</v>
      </c>
      <c r="E736" s="26">
        <v>6</v>
      </c>
      <c r="F736" s="25" t="s">
        <v>60</v>
      </c>
      <c r="G736" s="27">
        <f>$H$731</f>
        <v>48</v>
      </c>
      <c r="H736" s="27">
        <f>$G736+$E736</f>
        <v>54</v>
      </c>
      <c r="I736" s="28">
        <f>WORKDAY(Settings!$D$13,INT($G736/HoursPerDay)+1,Holidays)</f>
        <v>46344</v>
      </c>
      <c r="J736" s="28">
        <f>IF($E736=0,$I736,WORKDAY(Settings!$D$13,ROUNDUP($H736/HoursPerDay,0),Holidays))</f>
        <v>46345</v>
      </c>
    </row>
    <row r="737" spans="1:10" x14ac:dyDescent="0.25">
      <c r="A737" s="22" t="s">
        <v>12</v>
      </c>
      <c r="B737" s="22" t="s">
        <v>168</v>
      </c>
      <c r="C737" s="22" t="s">
        <v>618</v>
      </c>
      <c r="D737" s="22" t="s">
        <v>48</v>
      </c>
      <c r="E737" s="23">
        <f>SUMIF($D738:$D740,"Task",$E738:$E740)</f>
        <v>12</v>
      </c>
      <c r="F737" s="22"/>
      <c r="G737" s="23"/>
      <c r="H737" s="23"/>
      <c r="I737" s="24">
        <f>MIN($I738:$I740)</f>
        <v>46337</v>
      </c>
      <c r="J737" s="24">
        <f>MAX($J738:$J740)</f>
        <v>46352</v>
      </c>
    </row>
    <row r="738" spans="1:10" x14ac:dyDescent="0.25">
      <c r="A738" s="25" t="s">
        <v>12</v>
      </c>
      <c r="B738" s="25" t="s">
        <v>170</v>
      </c>
      <c r="C738" s="25" t="s">
        <v>54</v>
      </c>
      <c r="D738" s="25" t="s">
        <v>51</v>
      </c>
      <c r="E738" s="26">
        <v>4</v>
      </c>
      <c r="F738" s="25" t="s">
        <v>52</v>
      </c>
      <c r="G738" s="27">
        <f>$H$703</f>
        <v>12</v>
      </c>
      <c r="H738" s="27">
        <f>$G738+$E738</f>
        <v>16</v>
      </c>
      <c r="I738" s="28">
        <f>WORKDAY(Settings!$D$13,INT($G738/HoursPerDay)+1,Holidays)</f>
        <v>46337</v>
      </c>
      <c r="J738" s="28">
        <f>IF($E738=0,$I738,WORKDAY(Settings!$D$13,ROUNDUP($H738/HoursPerDay,0),Holidays))</f>
        <v>46338</v>
      </c>
    </row>
    <row r="739" spans="1:10" x14ac:dyDescent="0.25">
      <c r="A739" s="25" t="s">
        <v>12</v>
      </c>
      <c r="B739" s="25" t="s">
        <v>171</v>
      </c>
      <c r="C739" s="25" t="s">
        <v>56</v>
      </c>
      <c r="D739" s="25" t="s">
        <v>51</v>
      </c>
      <c r="E739" s="26">
        <v>4</v>
      </c>
      <c r="F739" s="25" t="s">
        <v>57</v>
      </c>
      <c r="G739" s="27">
        <f>$H$735</f>
        <v>86</v>
      </c>
      <c r="H739" s="27">
        <f>$G739+$E739</f>
        <v>90</v>
      </c>
      <c r="I739" s="28">
        <f>WORKDAY(Settings!$D$13,INT($G739/HoursPerDay)+1,Holidays)</f>
        <v>46352</v>
      </c>
      <c r="J739" s="28">
        <f>IF($E739=0,$I739,WORKDAY(Settings!$D$13,ROUNDUP($H739/HoursPerDay,0),Holidays))</f>
        <v>46352</v>
      </c>
    </row>
    <row r="740" spans="1:10" x14ac:dyDescent="0.25">
      <c r="A740" s="25" t="s">
        <v>12</v>
      </c>
      <c r="B740" s="25" t="s">
        <v>172</v>
      </c>
      <c r="C740" s="25" t="s">
        <v>59</v>
      </c>
      <c r="D740" s="25" t="s">
        <v>51</v>
      </c>
      <c r="E740" s="26">
        <v>4</v>
      </c>
      <c r="F740" s="25" t="s">
        <v>60</v>
      </c>
      <c r="G740" s="27">
        <f>$H$736</f>
        <v>54</v>
      </c>
      <c r="H740" s="27">
        <f>$G740+$E740</f>
        <v>58</v>
      </c>
      <c r="I740" s="28">
        <f>WORKDAY(Settings!$D$13,INT($G740/HoursPerDay)+1,Holidays)</f>
        <v>46345</v>
      </c>
      <c r="J740" s="28">
        <f>IF($E740=0,$I740,WORKDAY(Settings!$D$13,ROUNDUP($H740/HoursPerDay,0),Holidays))</f>
        <v>46346</v>
      </c>
    </row>
    <row r="741" spans="1:10" x14ac:dyDescent="0.25">
      <c r="A741" s="22" t="s">
        <v>12</v>
      </c>
      <c r="B741" s="22" t="s">
        <v>619</v>
      </c>
      <c r="C741" s="22" t="s">
        <v>620</v>
      </c>
      <c r="D741" s="22" t="s">
        <v>48</v>
      </c>
      <c r="E741" s="23">
        <f>SUMIF($D742:$D745,"Task",$E742:$E745)</f>
        <v>21</v>
      </c>
      <c r="F741" s="22"/>
      <c r="G741" s="23"/>
      <c r="H741" s="23"/>
      <c r="I741" s="24">
        <f>MIN($I742:$I745)</f>
        <v>46343</v>
      </c>
      <c r="J741" s="24">
        <f>MAX($J742:$J745)</f>
        <v>46367</v>
      </c>
    </row>
    <row r="742" spans="1:10" x14ac:dyDescent="0.25">
      <c r="A742" s="25" t="s">
        <v>12</v>
      </c>
      <c r="B742" s="25" t="s">
        <v>621</v>
      </c>
      <c r="C742" s="25" t="s">
        <v>50</v>
      </c>
      <c r="D742" s="25" t="s">
        <v>51</v>
      </c>
      <c r="E742" s="26">
        <v>3</v>
      </c>
      <c r="F742" s="25" t="s">
        <v>78</v>
      </c>
      <c r="G742" s="27">
        <f>$H$734</f>
        <v>159</v>
      </c>
      <c r="H742" s="27">
        <f>$G742+$E742</f>
        <v>162</v>
      </c>
      <c r="I742" s="28">
        <f>WORKDAY(Settings!$D$13,INT($G742/HoursPerDay)+1,Holidays)</f>
        <v>46366</v>
      </c>
      <c r="J742" s="28">
        <f>IF($E742=0,$I742,WORKDAY(Settings!$D$13,ROUNDUP($H742/HoursPerDay,0),Holidays))</f>
        <v>46367</v>
      </c>
    </row>
    <row r="743" spans="1:10" x14ac:dyDescent="0.25">
      <c r="A743" s="25" t="s">
        <v>12</v>
      </c>
      <c r="B743" s="25" t="s">
        <v>622</v>
      </c>
      <c r="C743" s="25" t="s">
        <v>54</v>
      </c>
      <c r="D743" s="25" t="s">
        <v>51</v>
      </c>
      <c r="E743" s="26">
        <v>6</v>
      </c>
      <c r="F743" s="25" t="s">
        <v>78</v>
      </c>
      <c r="G743" s="27">
        <f>$H$742</f>
        <v>162</v>
      </c>
      <c r="H743" s="27">
        <f>$G743+$E743</f>
        <v>168</v>
      </c>
      <c r="I743" s="28">
        <f>WORKDAY(Settings!$D$13,INT($G743/HoursPerDay)+1,Holidays)</f>
        <v>46367</v>
      </c>
      <c r="J743" s="28">
        <f>IF($E743=0,$I743,WORKDAY(Settings!$D$13,ROUNDUP($H743/HoursPerDay,0),Holidays))</f>
        <v>46367</v>
      </c>
    </row>
    <row r="744" spans="1:10" x14ac:dyDescent="0.25">
      <c r="A744" s="25" t="s">
        <v>12</v>
      </c>
      <c r="B744" s="25" t="s">
        <v>623</v>
      </c>
      <c r="C744" s="25" t="s">
        <v>56</v>
      </c>
      <c r="D744" s="25" t="s">
        <v>51</v>
      </c>
      <c r="E744" s="26">
        <v>6</v>
      </c>
      <c r="F744" s="25" t="s">
        <v>561</v>
      </c>
      <c r="G744" s="27">
        <f>$H$720</f>
        <v>39</v>
      </c>
      <c r="H744" s="27">
        <f>$G744+$E744</f>
        <v>45</v>
      </c>
      <c r="I744" s="28">
        <f>WORKDAY(Settings!$D$13,INT($G744/HoursPerDay)+1,Holidays)</f>
        <v>46343</v>
      </c>
      <c r="J744" s="28">
        <f>IF($E744=0,$I744,WORKDAY(Settings!$D$13,ROUNDUP($H744/HoursPerDay,0),Holidays))</f>
        <v>46344</v>
      </c>
    </row>
    <row r="745" spans="1:10" x14ac:dyDescent="0.25">
      <c r="A745" s="25" t="s">
        <v>12</v>
      </c>
      <c r="B745" s="25" t="s">
        <v>624</v>
      </c>
      <c r="C745" s="25" t="s">
        <v>59</v>
      </c>
      <c r="D745" s="25" t="s">
        <v>51</v>
      </c>
      <c r="E745" s="26">
        <v>6</v>
      </c>
      <c r="F745" s="25" t="s">
        <v>60</v>
      </c>
      <c r="G745" s="27">
        <f>$H$740</f>
        <v>58</v>
      </c>
      <c r="H745" s="27">
        <f>$G745+$E745</f>
        <v>64</v>
      </c>
      <c r="I745" s="28">
        <f>WORKDAY(Settings!$D$13,INT($G745/HoursPerDay)+1,Holidays)</f>
        <v>46346</v>
      </c>
      <c r="J745" s="28">
        <f>IF($E745=0,$I745,WORKDAY(Settings!$D$13,ROUNDUP($H745/HoursPerDay,0),Holidays))</f>
        <v>46349</v>
      </c>
    </row>
    <row r="746" spans="1:10" x14ac:dyDescent="0.25">
      <c r="A746" s="22" t="s">
        <v>12</v>
      </c>
      <c r="B746" s="22" t="s">
        <v>625</v>
      </c>
      <c r="C746" s="22" t="s">
        <v>626</v>
      </c>
      <c r="D746" s="22" t="s">
        <v>48</v>
      </c>
      <c r="E746" s="23">
        <f>SUMIF($D747:$D749,"Task",$E747:$E749)</f>
        <v>12</v>
      </c>
      <c r="F746" s="22"/>
      <c r="G746" s="23"/>
      <c r="H746" s="23"/>
      <c r="I746" s="24">
        <f>MIN($I747:$I749)</f>
        <v>46338</v>
      </c>
      <c r="J746" s="24">
        <f>MAX($J747:$J749)</f>
        <v>46353</v>
      </c>
    </row>
    <row r="747" spans="1:10" x14ac:dyDescent="0.25">
      <c r="A747" s="25" t="s">
        <v>12</v>
      </c>
      <c r="B747" s="25" t="s">
        <v>627</v>
      </c>
      <c r="C747" s="25" t="s">
        <v>54</v>
      </c>
      <c r="D747" s="25" t="s">
        <v>51</v>
      </c>
      <c r="E747" s="26">
        <v>4</v>
      </c>
      <c r="F747" s="25" t="s">
        <v>52</v>
      </c>
      <c r="G747" s="27">
        <f>$H$738</f>
        <v>16</v>
      </c>
      <c r="H747" s="27">
        <f>$G747+$E747</f>
        <v>20</v>
      </c>
      <c r="I747" s="28">
        <f>WORKDAY(Settings!$D$13,INT($G747/HoursPerDay)+1,Holidays)</f>
        <v>46338</v>
      </c>
      <c r="J747" s="28">
        <f>IF($E747=0,$I747,WORKDAY(Settings!$D$13,ROUNDUP($H747/HoursPerDay,0),Holidays))</f>
        <v>46338</v>
      </c>
    </row>
    <row r="748" spans="1:10" x14ac:dyDescent="0.25">
      <c r="A748" s="25" t="s">
        <v>12</v>
      </c>
      <c r="B748" s="25" t="s">
        <v>628</v>
      </c>
      <c r="C748" s="25" t="s">
        <v>56</v>
      </c>
      <c r="D748" s="25" t="s">
        <v>51</v>
      </c>
      <c r="E748" s="26">
        <v>4</v>
      </c>
      <c r="F748" s="25" t="s">
        <v>57</v>
      </c>
      <c r="G748" s="27">
        <f>$H$739</f>
        <v>90</v>
      </c>
      <c r="H748" s="27">
        <f>$G748+$E748</f>
        <v>94</v>
      </c>
      <c r="I748" s="28">
        <f>WORKDAY(Settings!$D$13,INT($G748/HoursPerDay)+1,Holidays)</f>
        <v>46352</v>
      </c>
      <c r="J748" s="28">
        <f>IF($E748=0,$I748,WORKDAY(Settings!$D$13,ROUNDUP($H748/HoursPerDay,0),Holidays))</f>
        <v>46353</v>
      </c>
    </row>
    <row r="749" spans="1:10" x14ac:dyDescent="0.25">
      <c r="A749" s="25" t="s">
        <v>12</v>
      </c>
      <c r="B749" s="25" t="s">
        <v>629</v>
      </c>
      <c r="C749" s="25" t="s">
        <v>59</v>
      </c>
      <c r="D749" s="25" t="s">
        <v>51</v>
      </c>
      <c r="E749" s="26">
        <v>4</v>
      </c>
      <c r="F749" s="25" t="s">
        <v>60</v>
      </c>
      <c r="G749" s="27">
        <f>$H$745</f>
        <v>64</v>
      </c>
      <c r="H749" s="27">
        <f>$G749+$E749</f>
        <v>68</v>
      </c>
      <c r="I749" s="28">
        <f>WORKDAY(Settings!$D$13,INT($G749/HoursPerDay)+1,Holidays)</f>
        <v>46349</v>
      </c>
      <c r="J749" s="28">
        <f>IF($E749=0,$I749,WORKDAY(Settings!$D$13,ROUNDUP($H749/HoursPerDay,0),Holidays))</f>
        <v>46349</v>
      </c>
    </row>
    <row r="750" spans="1:10" x14ac:dyDescent="0.25">
      <c r="A750" s="22" t="s">
        <v>12</v>
      </c>
      <c r="B750" s="22" t="s">
        <v>630</v>
      </c>
      <c r="C750" s="22" t="s">
        <v>631</v>
      </c>
      <c r="D750" s="22" t="s">
        <v>48</v>
      </c>
      <c r="E750" s="23">
        <f>SUMIF($D751:$D753,"Task",$E751:$E753)</f>
        <v>12</v>
      </c>
      <c r="F750" s="22"/>
      <c r="G750" s="23"/>
      <c r="H750" s="23"/>
      <c r="I750" s="24">
        <f>MIN($I751:$I753)</f>
        <v>46349</v>
      </c>
      <c r="J750" s="24">
        <f>MAX($J751:$J753)</f>
        <v>46370</v>
      </c>
    </row>
    <row r="751" spans="1:10" x14ac:dyDescent="0.25">
      <c r="A751" s="25" t="s">
        <v>12</v>
      </c>
      <c r="B751" s="25" t="s">
        <v>632</v>
      </c>
      <c r="C751" s="25" t="s">
        <v>54</v>
      </c>
      <c r="D751" s="25" t="s">
        <v>51</v>
      </c>
      <c r="E751" s="26">
        <v>4</v>
      </c>
      <c r="F751" s="25" t="s">
        <v>78</v>
      </c>
      <c r="G751" s="27">
        <f>$H$743</f>
        <v>168</v>
      </c>
      <c r="H751" s="27">
        <f>$G751+$E751</f>
        <v>172</v>
      </c>
      <c r="I751" s="28">
        <f>WORKDAY(Settings!$D$13,INT($G751/HoursPerDay)+1,Holidays)</f>
        <v>46370</v>
      </c>
      <c r="J751" s="28">
        <f>IF($E751=0,$I751,WORKDAY(Settings!$D$13,ROUNDUP($H751/HoursPerDay,0),Holidays))</f>
        <v>46370</v>
      </c>
    </row>
    <row r="752" spans="1:10" x14ac:dyDescent="0.25">
      <c r="A752" s="25" t="s">
        <v>12</v>
      </c>
      <c r="B752" s="25" t="s">
        <v>633</v>
      </c>
      <c r="C752" s="25" t="s">
        <v>56</v>
      </c>
      <c r="D752" s="25" t="s">
        <v>51</v>
      </c>
      <c r="E752" s="26">
        <v>4</v>
      </c>
      <c r="F752" s="25" t="s">
        <v>57</v>
      </c>
      <c r="G752" s="27">
        <f>$H$748</f>
        <v>94</v>
      </c>
      <c r="H752" s="27">
        <f>$G752+$E752</f>
        <v>98</v>
      </c>
      <c r="I752" s="28">
        <f>WORKDAY(Settings!$D$13,INT($G752/HoursPerDay)+1,Holidays)</f>
        <v>46353</v>
      </c>
      <c r="J752" s="28">
        <f>IF($E752=0,$I752,WORKDAY(Settings!$D$13,ROUNDUP($H752/HoursPerDay,0),Holidays))</f>
        <v>46353</v>
      </c>
    </row>
    <row r="753" spans="1:10" x14ac:dyDescent="0.25">
      <c r="A753" s="25" t="s">
        <v>12</v>
      </c>
      <c r="B753" s="25" t="s">
        <v>634</v>
      </c>
      <c r="C753" s="25" t="s">
        <v>59</v>
      </c>
      <c r="D753" s="25" t="s">
        <v>51</v>
      </c>
      <c r="E753" s="26">
        <v>4</v>
      </c>
      <c r="F753" s="25" t="s">
        <v>60</v>
      </c>
      <c r="G753" s="27">
        <f>$H$749</f>
        <v>68</v>
      </c>
      <c r="H753" s="27">
        <f>$G753+$E753</f>
        <v>72</v>
      </c>
      <c r="I753" s="28">
        <f>WORKDAY(Settings!$D$13,INT($G753/HoursPerDay)+1,Holidays)</f>
        <v>46349</v>
      </c>
      <c r="J753" s="28">
        <f>IF($E753=0,$I753,WORKDAY(Settings!$D$13,ROUNDUP($H753/HoursPerDay,0),Holidays))</f>
        <v>46350</v>
      </c>
    </row>
    <row r="754" spans="1:10" x14ac:dyDescent="0.25">
      <c r="A754" s="19" t="s">
        <v>12</v>
      </c>
      <c r="B754" s="19" t="s">
        <v>173</v>
      </c>
      <c r="C754" s="19" t="s">
        <v>635</v>
      </c>
      <c r="D754" s="19" t="s">
        <v>45</v>
      </c>
      <c r="E754" s="20">
        <f>SUMIF($D755:$D832,"Task",$E755:$E832)</f>
        <v>262</v>
      </c>
      <c r="F754" s="19"/>
      <c r="G754" s="20"/>
      <c r="H754" s="20"/>
      <c r="I754" s="21">
        <f>MIN($I755:$I832)</f>
        <v>46338</v>
      </c>
      <c r="J754" s="21">
        <f>MAX($J755:$J832)</f>
        <v>46379</v>
      </c>
    </row>
    <row r="755" spans="1:10" x14ac:dyDescent="0.25">
      <c r="A755" s="22" t="s">
        <v>12</v>
      </c>
      <c r="B755" s="22" t="s">
        <v>175</v>
      </c>
      <c r="C755" s="22" t="s">
        <v>636</v>
      </c>
      <c r="D755" s="22" t="s">
        <v>48</v>
      </c>
      <c r="E755" s="23">
        <f>SUMIF($D756:$D759,"Task",$E756:$E759)</f>
        <v>21</v>
      </c>
      <c r="F755" s="22"/>
      <c r="G755" s="23"/>
      <c r="H755" s="23"/>
      <c r="I755" s="24">
        <f>MIN($I756:$I759)</f>
        <v>46350</v>
      </c>
      <c r="J755" s="24">
        <f>MAX($J756:$J759)</f>
        <v>46371</v>
      </c>
    </row>
    <row r="756" spans="1:10" x14ac:dyDescent="0.25">
      <c r="A756" s="25" t="s">
        <v>12</v>
      </c>
      <c r="B756" s="25" t="s">
        <v>177</v>
      </c>
      <c r="C756" s="25" t="s">
        <v>50</v>
      </c>
      <c r="D756" s="25" t="s">
        <v>51</v>
      </c>
      <c r="E756" s="26">
        <v>3</v>
      </c>
      <c r="F756" s="25" t="s">
        <v>78</v>
      </c>
      <c r="G756" s="27">
        <f>$H$751</f>
        <v>172</v>
      </c>
      <c r="H756" s="27">
        <f>$G756+$E756</f>
        <v>175</v>
      </c>
      <c r="I756" s="28">
        <f>WORKDAY(Settings!$D$13,INT($G756/HoursPerDay)+1,Holidays)</f>
        <v>46370</v>
      </c>
      <c r="J756" s="28">
        <f>IF($E756=0,$I756,WORKDAY(Settings!$D$13,ROUNDUP($H756/HoursPerDay,0),Holidays))</f>
        <v>46370</v>
      </c>
    </row>
    <row r="757" spans="1:10" x14ac:dyDescent="0.25">
      <c r="A757" s="25" t="s">
        <v>12</v>
      </c>
      <c r="B757" s="25" t="s">
        <v>178</v>
      </c>
      <c r="C757" s="25" t="s">
        <v>54</v>
      </c>
      <c r="D757" s="25" t="s">
        <v>51</v>
      </c>
      <c r="E757" s="26">
        <v>6</v>
      </c>
      <c r="F757" s="25" t="s">
        <v>78</v>
      </c>
      <c r="G757" s="27">
        <f>$H$756</f>
        <v>175</v>
      </c>
      <c r="H757" s="27">
        <f>$G757+$E757</f>
        <v>181</v>
      </c>
      <c r="I757" s="28">
        <f>WORKDAY(Settings!$D$13,INT($G757/HoursPerDay)+1,Holidays)</f>
        <v>46371</v>
      </c>
      <c r="J757" s="28">
        <f>IF($E757=0,$I757,WORKDAY(Settings!$D$13,ROUNDUP($H757/HoursPerDay,0),Holidays))</f>
        <v>46371</v>
      </c>
    </row>
    <row r="758" spans="1:10" x14ac:dyDescent="0.25">
      <c r="A758" s="25" t="s">
        <v>12</v>
      </c>
      <c r="B758" s="25" t="s">
        <v>179</v>
      </c>
      <c r="C758" s="25" t="s">
        <v>56</v>
      </c>
      <c r="D758" s="25" t="s">
        <v>51</v>
      </c>
      <c r="E758" s="26">
        <v>6</v>
      </c>
      <c r="F758" s="25" t="s">
        <v>57</v>
      </c>
      <c r="G758" s="27">
        <f>$H$752</f>
        <v>98</v>
      </c>
      <c r="H758" s="27">
        <f>$G758+$E758</f>
        <v>104</v>
      </c>
      <c r="I758" s="28">
        <f>WORKDAY(Settings!$D$13,INT($G758/HoursPerDay)+1,Holidays)</f>
        <v>46356</v>
      </c>
      <c r="J758" s="28">
        <f>IF($E758=0,$I758,WORKDAY(Settings!$D$13,ROUNDUP($H758/HoursPerDay,0),Holidays))</f>
        <v>46356</v>
      </c>
    </row>
    <row r="759" spans="1:10" x14ac:dyDescent="0.25">
      <c r="A759" s="25" t="s">
        <v>12</v>
      </c>
      <c r="B759" s="25" t="s">
        <v>355</v>
      </c>
      <c r="C759" s="25" t="s">
        <v>59</v>
      </c>
      <c r="D759" s="25" t="s">
        <v>51</v>
      </c>
      <c r="E759" s="26">
        <v>6</v>
      </c>
      <c r="F759" s="25" t="s">
        <v>60</v>
      </c>
      <c r="G759" s="27">
        <f>$H$753</f>
        <v>72</v>
      </c>
      <c r="H759" s="27">
        <f>$G759+$E759</f>
        <v>78</v>
      </c>
      <c r="I759" s="28">
        <f>WORKDAY(Settings!$D$13,INT($G759/HoursPerDay)+1,Holidays)</f>
        <v>46350</v>
      </c>
      <c r="J759" s="28">
        <f>IF($E759=0,$I759,WORKDAY(Settings!$D$13,ROUNDUP($H759/HoursPerDay,0),Holidays))</f>
        <v>46351</v>
      </c>
    </row>
    <row r="760" spans="1:10" x14ac:dyDescent="0.25">
      <c r="A760" s="22" t="s">
        <v>12</v>
      </c>
      <c r="B760" s="22" t="s">
        <v>180</v>
      </c>
      <c r="C760" s="22" t="s">
        <v>637</v>
      </c>
      <c r="D760" s="22" t="s">
        <v>48</v>
      </c>
      <c r="E760" s="23">
        <f>SUMIF($D761:$D764,"Task",$E761:$E764)</f>
        <v>21</v>
      </c>
      <c r="F760" s="22"/>
      <c r="G760" s="23"/>
      <c r="H760" s="23"/>
      <c r="I760" s="24">
        <f>MIN($I761:$I764)</f>
        <v>46344</v>
      </c>
      <c r="J760" s="24">
        <f>MAX($J761:$J764)</f>
        <v>46373</v>
      </c>
    </row>
    <row r="761" spans="1:10" x14ac:dyDescent="0.25">
      <c r="A761" s="25" t="s">
        <v>12</v>
      </c>
      <c r="B761" s="25" t="s">
        <v>182</v>
      </c>
      <c r="C761" s="25" t="s">
        <v>50</v>
      </c>
      <c r="D761" s="25" t="s">
        <v>51</v>
      </c>
      <c r="E761" s="26">
        <v>3</v>
      </c>
      <c r="F761" s="25" t="s">
        <v>78</v>
      </c>
      <c r="G761" s="27">
        <f>$H$757</f>
        <v>181</v>
      </c>
      <c r="H761" s="27">
        <f>$G761+$E761</f>
        <v>184</v>
      </c>
      <c r="I761" s="28">
        <f>WORKDAY(Settings!$D$13,INT($G761/HoursPerDay)+1,Holidays)</f>
        <v>46371</v>
      </c>
      <c r="J761" s="28">
        <f>IF($E761=0,$I761,WORKDAY(Settings!$D$13,ROUNDUP($H761/HoursPerDay,0),Holidays))</f>
        <v>46372</v>
      </c>
    </row>
    <row r="762" spans="1:10" x14ac:dyDescent="0.25">
      <c r="A762" s="25" t="s">
        <v>12</v>
      </c>
      <c r="B762" s="25" t="s">
        <v>183</v>
      </c>
      <c r="C762" s="25" t="s">
        <v>54</v>
      </c>
      <c r="D762" s="25" t="s">
        <v>51</v>
      </c>
      <c r="E762" s="26">
        <v>6</v>
      </c>
      <c r="F762" s="25" t="s">
        <v>78</v>
      </c>
      <c r="G762" s="27">
        <f>$H$761</f>
        <v>184</v>
      </c>
      <c r="H762" s="27">
        <f>$G762+$E762</f>
        <v>190</v>
      </c>
      <c r="I762" s="28">
        <f>WORKDAY(Settings!$D$13,INT($G762/HoursPerDay)+1,Holidays)</f>
        <v>46372</v>
      </c>
      <c r="J762" s="28">
        <f>IF($E762=0,$I762,WORKDAY(Settings!$D$13,ROUNDUP($H762/HoursPerDay,0),Holidays))</f>
        <v>46373</v>
      </c>
    </row>
    <row r="763" spans="1:10" x14ac:dyDescent="0.25">
      <c r="A763" s="25" t="s">
        <v>12</v>
      </c>
      <c r="B763" s="25" t="s">
        <v>184</v>
      </c>
      <c r="C763" s="25" t="s">
        <v>56</v>
      </c>
      <c r="D763" s="25" t="s">
        <v>51</v>
      </c>
      <c r="E763" s="26">
        <v>6</v>
      </c>
      <c r="F763" s="25" t="s">
        <v>561</v>
      </c>
      <c r="G763" s="27">
        <f>$H$744</f>
        <v>45</v>
      </c>
      <c r="H763" s="27">
        <f>$G763+$E763</f>
        <v>51</v>
      </c>
      <c r="I763" s="28">
        <f>WORKDAY(Settings!$D$13,INT($G763/HoursPerDay)+1,Holidays)</f>
        <v>46344</v>
      </c>
      <c r="J763" s="28">
        <f>IF($E763=0,$I763,WORKDAY(Settings!$D$13,ROUNDUP($H763/HoursPerDay,0),Holidays))</f>
        <v>46345</v>
      </c>
    </row>
    <row r="764" spans="1:10" x14ac:dyDescent="0.25">
      <c r="A764" s="25" t="s">
        <v>12</v>
      </c>
      <c r="B764" s="25" t="s">
        <v>471</v>
      </c>
      <c r="C764" s="25" t="s">
        <v>59</v>
      </c>
      <c r="D764" s="25" t="s">
        <v>51</v>
      </c>
      <c r="E764" s="26">
        <v>6</v>
      </c>
      <c r="F764" s="25" t="s">
        <v>60</v>
      </c>
      <c r="G764" s="27">
        <f>$H$759</f>
        <v>78</v>
      </c>
      <c r="H764" s="27">
        <f>$G764+$E764</f>
        <v>84</v>
      </c>
      <c r="I764" s="28">
        <f>WORKDAY(Settings!$D$13,INT($G764/HoursPerDay)+1,Holidays)</f>
        <v>46351</v>
      </c>
      <c r="J764" s="28">
        <f>IF($E764=0,$I764,WORKDAY(Settings!$D$13,ROUNDUP($H764/HoursPerDay,0),Holidays))</f>
        <v>46351</v>
      </c>
    </row>
    <row r="765" spans="1:10" x14ac:dyDescent="0.25">
      <c r="A765" s="22" t="s">
        <v>12</v>
      </c>
      <c r="B765" s="22" t="s">
        <v>185</v>
      </c>
      <c r="C765" s="22" t="s">
        <v>638</v>
      </c>
      <c r="D765" s="22" t="s">
        <v>48</v>
      </c>
      <c r="E765" s="23">
        <f>SUMIF($D766:$D769,"Task",$E766:$E769)</f>
        <v>14</v>
      </c>
      <c r="F765" s="22"/>
      <c r="G765" s="23"/>
      <c r="H765" s="23"/>
      <c r="I765" s="24">
        <f>MIN($I766:$I769)</f>
        <v>46338</v>
      </c>
      <c r="J765" s="24">
        <f>MAX($J766:$J769)</f>
        <v>46373</v>
      </c>
    </row>
    <row r="766" spans="1:10" x14ac:dyDescent="0.25">
      <c r="A766" s="25" t="s">
        <v>12</v>
      </c>
      <c r="B766" s="25" t="s">
        <v>358</v>
      </c>
      <c r="C766" s="25" t="s">
        <v>50</v>
      </c>
      <c r="D766" s="25" t="s">
        <v>51</v>
      </c>
      <c r="E766" s="26">
        <v>2</v>
      </c>
      <c r="F766" s="25" t="s">
        <v>78</v>
      </c>
      <c r="G766" s="27">
        <f>$H$762</f>
        <v>190</v>
      </c>
      <c r="H766" s="27">
        <f>$G766+$E766</f>
        <v>192</v>
      </c>
      <c r="I766" s="28">
        <f>WORKDAY(Settings!$D$13,INT($G766/HoursPerDay)+1,Holidays)</f>
        <v>46373</v>
      </c>
      <c r="J766" s="28">
        <f>IF($E766=0,$I766,WORKDAY(Settings!$D$13,ROUNDUP($H766/HoursPerDay,0),Holidays))</f>
        <v>46373</v>
      </c>
    </row>
    <row r="767" spans="1:10" x14ac:dyDescent="0.25">
      <c r="A767" s="25" t="s">
        <v>12</v>
      </c>
      <c r="B767" s="25" t="s">
        <v>187</v>
      </c>
      <c r="C767" s="25" t="s">
        <v>54</v>
      </c>
      <c r="D767" s="25" t="s">
        <v>51</v>
      </c>
      <c r="E767" s="26">
        <v>4</v>
      </c>
      <c r="F767" s="25" t="s">
        <v>52</v>
      </c>
      <c r="G767" s="27">
        <f>$H$747</f>
        <v>20</v>
      </c>
      <c r="H767" s="27">
        <f>$G767+$E767</f>
        <v>24</v>
      </c>
      <c r="I767" s="28">
        <f>WORKDAY(Settings!$D$13,INT($G767/HoursPerDay)+1,Holidays)</f>
        <v>46338</v>
      </c>
      <c r="J767" s="28">
        <f>IF($E767=0,$I767,WORKDAY(Settings!$D$13,ROUNDUP($H767/HoursPerDay,0),Holidays))</f>
        <v>46339</v>
      </c>
    </row>
    <row r="768" spans="1:10" x14ac:dyDescent="0.25">
      <c r="A768" s="25" t="s">
        <v>12</v>
      </c>
      <c r="B768" s="25" t="s">
        <v>188</v>
      </c>
      <c r="C768" s="25" t="s">
        <v>56</v>
      </c>
      <c r="D768" s="25" t="s">
        <v>51</v>
      </c>
      <c r="E768" s="26">
        <v>4</v>
      </c>
      <c r="F768" s="25" t="s">
        <v>57</v>
      </c>
      <c r="G768" s="27">
        <f>$H$758</f>
        <v>104</v>
      </c>
      <c r="H768" s="27">
        <f>$G768+$E768</f>
        <v>108</v>
      </c>
      <c r="I768" s="28">
        <f>WORKDAY(Settings!$D$13,INT($G768/HoursPerDay)+1,Holidays)</f>
        <v>46356</v>
      </c>
      <c r="J768" s="28">
        <f>IF($E768=0,$I768,WORKDAY(Settings!$D$13,ROUNDUP($H768/HoursPerDay,0),Holidays))</f>
        <v>46357</v>
      </c>
    </row>
    <row r="769" spans="1:10" x14ac:dyDescent="0.25">
      <c r="A769" s="25" t="s">
        <v>12</v>
      </c>
      <c r="B769" s="25" t="s">
        <v>473</v>
      </c>
      <c r="C769" s="25" t="s">
        <v>59</v>
      </c>
      <c r="D769" s="25" t="s">
        <v>51</v>
      </c>
      <c r="E769" s="26">
        <v>4</v>
      </c>
      <c r="F769" s="25" t="s">
        <v>60</v>
      </c>
      <c r="G769" s="27">
        <f>$H$764</f>
        <v>84</v>
      </c>
      <c r="H769" s="27">
        <f>$G769+$E769</f>
        <v>88</v>
      </c>
      <c r="I769" s="28">
        <f>WORKDAY(Settings!$D$13,INT($G769/HoursPerDay)+1,Holidays)</f>
        <v>46352</v>
      </c>
      <c r="J769" s="28">
        <f>IF($E769=0,$I769,WORKDAY(Settings!$D$13,ROUNDUP($H769/HoursPerDay,0),Holidays))</f>
        <v>46352</v>
      </c>
    </row>
    <row r="770" spans="1:10" x14ac:dyDescent="0.25">
      <c r="A770" s="22" t="s">
        <v>12</v>
      </c>
      <c r="B770" s="22" t="s">
        <v>189</v>
      </c>
      <c r="C770" s="22" t="s">
        <v>639</v>
      </c>
      <c r="D770" s="22" t="s">
        <v>48</v>
      </c>
      <c r="E770" s="23">
        <f>SUMIF($D771:$D774,"Task",$E771:$E774)</f>
        <v>21</v>
      </c>
      <c r="F770" s="22"/>
      <c r="G770" s="23"/>
      <c r="H770" s="23"/>
      <c r="I770" s="24">
        <f>MIN($I771:$I774)</f>
        <v>46339</v>
      </c>
      <c r="J770" s="24">
        <f>MAX($J771:$J774)</f>
        <v>46373</v>
      </c>
    </row>
    <row r="771" spans="1:10" x14ac:dyDescent="0.25">
      <c r="A771" s="25" t="s">
        <v>12</v>
      </c>
      <c r="B771" s="25" t="s">
        <v>191</v>
      </c>
      <c r="C771" s="25" t="s">
        <v>50</v>
      </c>
      <c r="D771" s="25" t="s">
        <v>51</v>
      </c>
      <c r="E771" s="26">
        <v>3</v>
      </c>
      <c r="F771" s="25" t="s">
        <v>78</v>
      </c>
      <c r="G771" s="27">
        <f>$H$766</f>
        <v>192</v>
      </c>
      <c r="H771" s="27">
        <f>$G771+$E771</f>
        <v>195</v>
      </c>
      <c r="I771" s="28">
        <f>WORKDAY(Settings!$D$13,INT($G771/HoursPerDay)+1,Holidays)</f>
        <v>46373</v>
      </c>
      <c r="J771" s="28">
        <f>IF($E771=0,$I771,WORKDAY(Settings!$D$13,ROUNDUP($H771/HoursPerDay,0),Holidays))</f>
        <v>46373</v>
      </c>
    </row>
    <row r="772" spans="1:10" x14ac:dyDescent="0.25">
      <c r="A772" s="25" t="s">
        <v>12</v>
      </c>
      <c r="B772" s="25" t="s">
        <v>192</v>
      </c>
      <c r="C772" s="25" t="s">
        <v>54</v>
      </c>
      <c r="D772" s="25" t="s">
        <v>51</v>
      </c>
      <c r="E772" s="26">
        <v>6</v>
      </c>
      <c r="F772" s="25" t="s">
        <v>52</v>
      </c>
      <c r="G772" s="27">
        <f>$H$767</f>
        <v>24</v>
      </c>
      <c r="H772" s="27">
        <f>$G772+$E772</f>
        <v>30</v>
      </c>
      <c r="I772" s="28">
        <f>WORKDAY(Settings!$D$13,INT($G772/HoursPerDay)+1,Holidays)</f>
        <v>46339</v>
      </c>
      <c r="J772" s="28">
        <f>IF($E772=0,$I772,WORKDAY(Settings!$D$13,ROUNDUP($H772/HoursPerDay,0),Holidays))</f>
        <v>46342</v>
      </c>
    </row>
    <row r="773" spans="1:10" x14ac:dyDescent="0.25">
      <c r="A773" s="25" t="s">
        <v>12</v>
      </c>
      <c r="B773" s="25" t="s">
        <v>193</v>
      </c>
      <c r="C773" s="25" t="s">
        <v>56</v>
      </c>
      <c r="D773" s="25" t="s">
        <v>51</v>
      </c>
      <c r="E773" s="26">
        <v>6</v>
      </c>
      <c r="F773" s="25" t="s">
        <v>57</v>
      </c>
      <c r="G773" s="27">
        <f>$H$768</f>
        <v>108</v>
      </c>
      <c r="H773" s="27">
        <f>$G773+$E773</f>
        <v>114</v>
      </c>
      <c r="I773" s="28">
        <f>WORKDAY(Settings!$D$13,INT($G773/HoursPerDay)+1,Holidays)</f>
        <v>46357</v>
      </c>
      <c r="J773" s="28">
        <f>IF($E773=0,$I773,WORKDAY(Settings!$D$13,ROUNDUP($H773/HoursPerDay,0),Holidays))</f>
        <v>46358</v>
      </c>
    </row>
    <row r="774" spans="1:10" x14ac:dyDescent="0.25">
      <c r="A774" s="25" t="s">
        <v>12</v>
      </c>
      <c r="B774" s="25" t="s">
        <v>194</v>
      </c>
      <c r="C774" s="25" t="s">
        <v>59</v>
      </c>
      <c r="D774" s="25" t="s">
        <v>51</v>
      </c>
      <c r="E774" s="26">
        <v>6</v>
      </c>
      <c r="F774" s="25" t="s">
        <v>60</v>
      </c>
      <c r="G774" s="27">
        <f>$H$769</f>
        <v>88</v>
      </c>
      <c r="H774" s="27">
        <f>$G774+$E774</f>
        <v>94</v>
      </c>
      <c r="I774" s="28">
        <f>WORKDAY(Settings!$D$13,INT($G774/HoursPerDay)+1,Holidays)</f>
        <v>46352</v>
      </c>
      <c r="J774" s="28">
        <f>IF($E774=0,$I774,WORKDAY(Settings!$D$13,ROUNDUP($H774/HoursPerDay,0),Holidays))</f>
        <v>46353</v>
      </c>
    </row>
    <row r="775" spans="1:10" x14ac:dyDescent="0.25">
      <c r="A775" s="22" t="s">
        <v>12</v>
      </c>
      <c r="B775" s="22" t="s">
        <v>195</v>
      </c>
      <c r="C775" s="22" t="s">
        <v>640</v>
      </c>
      <c r="D775" s="22" t="s">
        <v>48</v>
      </c>
      <c r="E775" s="23">
        <f>SUMIF($D776:$D779,"Task",$E776:$E779)</f>
        <v>14</v>
      </c>
      <c r="F775" s="22"/>
      <c r="G775" s="23"/>
      <c r="H775" s="23"/>
      <c r="I775" s="24">
        <f>MIN($I776:$I779)</f>
        <v>46342</v>
      </c>
      <c r="J775" s="24">
        <f>MAX($J776:$J779)</f>
        <v>46374</v>
      </c>
    </row>
    <row r="776" spans="1:10" x14ac:dyDescent="0.25">
      <c r="A776" s="25" t="s">
        <v>12</v>
      </c>
      <c r="B776" s="25" t="s">
        <v>197</v>
      </c>
      <c r="C776" s="25" t="s">
        <v>50</v>
      </c>
      <c r="D776" s="25" t="s">
        <v>51</v>
      </c>
      <c r="E776" s="26">
        <v>2</v>
      </c>
      <c r="F776" s="25" t="s">
        <v>78</v>
      </c>
      <c r="G776" s="27">
        <f>$H$771</f>
        <v>195</v>
      </c>
      <c r="H776" s="27">
        <f>$G776+$E776</f>
        <v>197</v>
      </c>
      <c r="I776" s="28">
        <f>WORKDAY(Settings!$D$13,INT($G776/HoursPerDay)+1,Holidays)</f>
        <v>46373</v>
      </c>
      <c r="J776" s="28">
        <f>IF($E776=0,$I776,WORKDAY(Settings!$D$13,ROUNDUP($H776/HoursPerDay,0),Holidays))</f>
        <v>46374</v>
      </c>
    </row>
    <row r="777" spans="1:10" x14ac:dyDescent="0.25">
      <c r="A777" s="25" t="s">
        <v>12</v>
      </c>
      <c r="B777" s="25" t="s">
        <v>198</v>
      </c>
      <c r="C777" s="25" t="s">
        <v>54</v>
      </c>
      <c r="D777" s="25" t="s">
        <v>51</v>
      </c>
      <c r="E777" s="26">
        <v>4</v>
      </c>
      <c r="F777" s="25" t="s">
        <v>52</v>
      </c>
      <c r="G777" s="27">
        <f>$H$772</f>
        <v>30</v>
      </c>
      <c r="H777" s="27">
        <f>$G777+$E777</f>
        <v>34</v>
      </c>
      <c r="I777" s="28">
        <f>WORKDAY(Settings!$D$13,INT($G777/HoursPerDay)+1,Holidays)</f>
        <v>46342</v>
      </c>
      <c r="J777" s="28">
        <f>IF($E777=0,$I777,WORKDAY(Settings!$D$13,ROUNDUP($H777/HoursPerDay,0),Holidays))</f>
        <v>46342</v>
      </c>
    </row>
    <row r="778" spans="1:10" x14ac:dyDescent="0.25">
      <c r="A778" s="25" t="s">
        <v>12</v>
      </c>
      <c r="B778" s="25" t="s">
        <v>199</v>
      </c>
      <c r="C778" s="25" t="s">
        <v>56</v>
      </c>
      <c r="D778" s="25" t="s">
        <v>51</v>
      </c>
      <c r="E778" s="26">
        <v>4</v>
      </c>
      <c r="F778" s="25" t="s">
        <v>561</v>
      </c>
      <c r="G778" s="27">
        <f>$H$763</f>
        <v>51</v>
      </c>
      <c r="H778" s="27">
        <f>$G778+$E778</f>
        <v>55</v>
      </c>
      <c r="I778" s="28">
        <f>WORKDAY(Settings!$D$13,INT($G778/HoursPerDay)+1,Holidays)</f>
        <v>46345</v>
      </c>
      <c r="J778" s="28">
        <f>IF($E778=0,$I778,WORKDAY(Settings!$D$13,ROUNDUP($H778/HoursPerDay,0),Holidays))</f>
        <v>46345</v>
      </c>
    </row>
    <row r="779" spans="1:10" x14ac:dyDescent="0.25">
      <c r="A779" s="25" t="s">
        <v>12</v>
      </c>
      <c r="B779" s="25" t="s">
        <v>641</v>
      </c>
      <c r="C779" s="25" t="s">
        <v>59</v>
      </c>
      <c r="D779" s="25" t="s">
        <v>51</v>
      </c>
      <c r="E779" s="26">
        <v>4</v>
      </c>
      <c r="F779" s="25" t="s">
        <v>60</v>
      </c>
      <c r="G779" s="27">
        <f>$H$774</f>
        <v>94</v>
      </c>
      <c r="H779" s="27">
        <f>$G779+$E779</f>
        <v>98</v>
      </c>
      <c r="I779" s="28">
        <f>WORKDAY(Settings!$D$13,INT($G779/HoursPerDay)+1,Holidays)</f>
        <v>46353</v>
      </c>
      <c r="J779" s="28">
        <f>IF($E779=0,$I779,WORKDAY(Settings!$D$13,ROUNDUP($H779/HoursPerDay,0),Holidays))</f>
        <v>46353</v>
      </c>
    </row>
    <row r="780" spans="1:10" x14ac:dyDescent="0.25">
      <c r="A780" s="22" t="s">
        <v>12</v>
      </c>
      <c r="B780" s="22" t="s">
        <v>200</v>
      </c>
      <c r="C780" s="22" t="s">
        <v>642</v>
      </c>
      <c r="D780" s="22" t="s">
        <v>48</v>
      </c>
      <c r="E780" s="23">
        <f>SUMIF($D781:$D784,"Task",$E781:$E784)</f>
        <v>21</v>
      </c>
      <c r="F780" s="22"/>
      <c r="G780" s="23"/>
      <c r="H780" s="23"/>
      <c r="I780" s="24">
        <f>MIN($I781:$I784)</f>
        <v>46342</v>
      </c>
      <c r="J780" s="24">
        <f>MAX($J781:$J784)</f>
        <v>46374</v>
      </c>
    </row>
    <row r="781" spans="1:10" x14ac:dyDescent="0.25">
      <c r="A781" s="25" t="s">
        <v>12</v>
      </c>
      <c r="B781" s="25" t="s">
        <v>202</v>
      </c>
      <c r="C781" s="25" t="s">
        <v>50</v>
      </c>
      <c r="D781" s="25" t="s">
        <v>51</v>
      </c>
      <c r="E781" s="26">
        <v>3</v>
      </c>
      <c r="F781" s="25" t="s">
        <v>78</v>
      </c>
      <c r="G781" s="27">
        <f>$H$776</f>
        <v>197</v>
      </c>
      <c r="H781" s="27">
        <f>$G781+$E781</f>
        <v>200</v>
      </c>
      <c r="I781" s="28">
        <f>WORKDAY(Settings!$D$13,INT($G781/HoursPerDay)+1,Holidays)</f>
        <v>46374</v>
      </c>
      <c r="J781" s="28">
        <f>IF($E781=0,$I781,WORKDAY(Settings!$D$13,ROUNDUP($H781/HoursPerDay,0),Holidays))</f>
        <v>46374</v>
      </c>
    </row>
    <row r="782" spans="1:10" x14ac:dyDescent="0.25">
      <c r="A782" s="25" t="s">
        <v>12</v>
      </c>
      <c r="B782" s="25" t="s">
        <v>203</v>
      </c>
      <c r="C782" s="25" t="s">
        <v>54</v>
      </c>
      <c r="D782" s="25" t="s">
        <v>51</v>
      </c>
      <c r="E782" s="26">
        <v>6</v>
      </c>
      <c r="F782" s="25" t="s">
        <v>52</v>
      </c>
      <c r="G782" s="27">
        <f>$H$777</f>
        <v>34</v>
      </c>
      <c r="H782" s="27">
        <f>$G782+$E782</f>
        <v>40</v>
      </c>
      <c r="I782" s="28">
        <f>WORKDAY(Settings!$D$13,INT($G782/HoursPerDay)+1,Holidays)</f>
        <v>46342</v>
      </c>
      <c r="J782" s="28">
        <f>IF($E782=0,$I782,WORKDAY(Settings!$D$13,ROUNDUP($H782/HoursPerDay,0),Holidays))</f>
        <v>46343</v>
      </c>
    </row>
    <row r="783" spans="1:10" x14ac:dyDescent="0.25">
      <c r="A783" s="25" t="s">
        <v>12</v>
      </c>
      <c r="B783" s="25" t="s">
        <v>204</v>
      </c>
      <c r="C783" s="25" t="s">
        <v>56</v>
      </c>
      <c r="D783" s="25" t="s">
        <v>51</v>
      </c>
      <c r="E783" s="26">
        <v>6</v>
      </c>
      <c r="F783" s="25" t="s">
        <v>561</v>
      </c>
      <c r="G783" s="27">
        <f>$H$778</f>
        <v>55</v>
      </c>
      <c r="H783" s="27">
        <f>$G783+$E783</f>
        <v>61</v>
      </c>
      <c r="I783" s="28">
        <f>WORKDAY(Settings!$D$13,INT($G783/HoursPerDay)+1,Holidays)</f>
        <v>46345</v>
      </c>
      <c r="J783" s="28">
        <f>IF($E783=0,$I783,WORKDAY(Settings!$D$13,ROUNDUP($H783/HoursPerDay,0),Holidays))</f>
        <v>46346</v>
      </c>
    </row>
    <row r="784" spans="1:10" x14ac:dyDescent="0.25">
      <c r="A784" s="25" t="s">
        <v>12</v>
      </c>
      <c r="B784" s="25" t="s">
        <v>643</v>
      </c>
      <c r="C784" s="25" t="s">
        <v>59</v>
      </c>
      <c r="D784" s="25" t="s">
        <v>51</v>
      </c>
      <c r="E784" s="26">
        <v>6</v>
      </c>
      <c r="F784" s="25" t="s">
        <v>60</v>
      </c>
      <c r="G784" s="27">
        <f>$H$779</f>
        <v>98</v>
      </c>
      <c r="H784" s="27">
        <f>$G784+$E784</f>
        <v>104</v>
      </c>
      <c r="I784" s="28">
        <f>WORKDAY(Settings!$D$13,INT($G784/HoursPerDay)+1,Holidays)</f>
        <v>46356</v>
      </c>
      <c r="J784" s="28">
        <f>IF($E784=0,$I784,WORKDAY(Settings!$D$13,ROUNDUP($H784/HoursPerDay,0),Holidays))</f>
        <v>46356</v>
      </c>
    </row>
    <row r="785" spans="1:10" x14ac:dyDescent="0.25">
      <c r="A785" s="22" t="s">
        <v>12</v>
      </c>
      <c r="B785" s="22" t="s">
        <v>644</v>
      </c>
      <c r="C785" s="22" t="s">
        <v>645</v>
      </c>
      <c r="D785" s="22" t="s">
        <v>48</v>
      </c>
      <c r="E785" s="23">
        <f>SUMIF($D786:$D789,"Task",$E786:$E789)</f>
        <v>14</v>
      </c>
      <c r="F785" s="22"/>
      <c r="G785" s="23"/>
      <c r="H785" s="23"/>
      <c r="I785" s="24">
        <f>MIN($I786:$I789)</f>
        <v>46343</v>
      </c>
      <c r="J785" s="24">
        <f>MAX($J786:$J789)</f>
        <v>46374</v>
      </c>
    </row>
    <row r="786" spans="1:10" x14ac:dyDescent="0.25">
      <c r="A786" s="25" t="s">
        <v>12</v>
      </c>
      <c r="B786" s="25" t="s">
        <v>646</v>
      </c>
      <c r="C786" s="25" t="s">
        <v>50</v>
      </c>
      <c r="D786" s="25" t="s">
        <v>51</v>
      </c>
      <c r="E786" s="26">
        <v>2</v>
      </c>
      <c r="F786" s="25" t="s">
        <v>78</v>
      </c>
      <c r="G786" s="27">
        <f>$H$781</f>
        <v>200</v>
      </c>
      <c r="H786" s="27">
        <f>$G786+$E786</f>
        <v>202</v>
      </c>
      <c r="I786" s="28">
        <f>WORKDAY(Settings!$D$13,INT($G786/HoursPerDay)+1,Holidays)</f>
        <v>46374</v>
      </c>
      <c r="J786" s="28">
        <f>IF($E786=0,$I786,WORKDAY(Settings!$D$13,ROUNDUP($H786/HoursPerDay,0),Holidays))</f>
        <v>46374</v>
      </c>
    </row>
    <row r="787" spans="1:10" x14ac:dyDescent="0.25">
      <c r="A787" s="25" t="s">
        <v>12</v>
      </c>
      <c r="B787" s="25" t="s">
        <v>647</v>
      </c>
      <c r="C787" s="25" t="s">
        <v>54</v>
      </c>
      <c r="D787" s="25" t="s">
        <v>51</v>
      </c>
      <c r="E787" s="26">
        <v>4</v>
      </c>
      <c r="F787" s="25" t="s">
        <v>52</v>
      </c>
      <c r="G787" s="27">
        <f>$H$782</f>
        <v>40</v>
      </c>
      <c r="H787" s="27">
        <f>$G787+$E787</f>
        <v>44</v>
      </c>
      <c r="I787" s="28">
        <f>WORKDAY(Settings!$D$13,INT($G787/HoursPerDay)+1,Holidays)</f>
        <v>46343</v>
      </c>
      <c r="J787" s="28">
        <f>IF($E787=0,$I787,WORKDAY(Settings!$D$13,ROUNDUP($H787/HoursPerDay,0),Holidays))</f>
        <v>46344</v>
      </c>
    </row>
    <row r="788" spans="1:10" x14ac:dyDescent="0.25">
      <c r="A788" s="25" t="s">
        <v>12</v>
      </c>
      <c r="B788" s="25" t="s">
        <v>648</v>
      </c>
      <c r="C788" s="25" t="s">
        <v>56</v>
      </c>
      <c r="D788" s="25" t="s">
        <v>51</v>
      </c>
      <c r="E788" s="26">
        <v>4</v>
      </c>
      <c r="F788" s="25" t="s">
        <v>57</v>
      </c>
      <c r="G788" s="27">
        <f>$H$773</f>
        <v>114</v>
      </c>
      <c r="H788" s="27">
        <f>$G788+$E788</f>
        <v>118</v>
      </c>
      <c r="I788" s="28">
        <f>WORKDAY(Settings!$D$13,INT($G788/HoursPerDay)+1,Holidays)</f>
        <v>46358</v>
      </c>
      <c r="J788" s="28">
        <f>IF($E788=0,$I788,WORKDAY(Settings!$D$13,ROUNDUP($H788/HoursPerDay,0),Holidays))</f>
        <v>46358</v>
      </c>
    </row>
    <row r="789" spans="1:10" x14ac:dyDescent="0.25">
      <c r="A789" s="25" t="s">
        <v>12</v>
      </c>
      <c r="B789" s="25" t="s">
        <v>649</v>
      </c>
      <c r="C789" s="25" t="s">
        <v>59</v>
      </c>
      <c r="D789" s="25" t="s">
        <v>51</v>
      </c>
      <c r="E789" s="26">
        <v>4</v>
      </c>
      <c r="F789" s="25" t="s">
        <v>60</v>
      </c>
      <c r="G789" s="27">
        <f>$H$784</f>
        <v>104</v>
      </c>
      <c r="H789" s="27">
        <f>$G789+$E789</f>
        <v>108</v>
      </c>
      <c r="I789" s="28">
        <f>WORKDAY(Settings!$D$13,INT($G789/HoursPerDay)+1,Holidays)</f>
        <v>46356</v>
      </c>
      <c r="J789" s="28">
        <f>IF($E789=0,$I789,WORKDAY(Settings!$D$13,ROUNDUP($H789/HoursPerDay,0),Holidays))</f>
        <v>46357</v>
      </c>
    </row>
    <row r="790" spans="1:10" x14ac:dyDescent="0.25">
      <c r="A790" s="22" t="s">
        <v>12</v>
      </c>
      <c r="B790" s="22" t="s">
        <v>650</v>
      </c>
      <c r="C790" s="22" t="s">
        <v>651</v>
      </c>
      <c r="D790" s="22" t="s">
        <v>48</v>
      </c>
      <c r="E790" s="23">
        <f>SUMIF($D791:$D794,"Task",$E791:$E794)</f>
        <v>14</v>
      </c>
      <c r="F790" s="22"/>
      <c r="G790" s="23"/>
      <c r="H790" s="23"/>
      <c r="I790" s="24">
        <f>MIN($I791:$I794)</f>
        <v>46344</v>
      </c>
      <c r="J790" s="24">
        <f>MAX($J791:$J794)</f>
        <v>46377</v>
      </c>
    </row>
    <row r="791" spans="1:10" x14ac:dyDescent="0.25">
      <c r="A791" s="25" t="s">
        <v>12</v>
      </c>
      <c r="B791" s="25" t="s">
        <v>652</v>
      </c>
      <c r="C791" s="25" t="s">
        <v>50</v>
      </c>
      <c r="D791" s="25" t="s">
        <v>51</v>
      </c>
      <c r="E791" s="26">
        <v>2</v>
      </c>
      <c r="F791" s="25" t="s">
        <v>78</v>
      </c>
      <c r="G791" s="27">
        <f>$H$786</f>
        <v>202</v>
      </c>
      <c r="H791" s="27">
        <f>$G791+$E791</f>
        <v>204</v>
      </c>
      <c r="I791" s="28">
        <f>WORKDAY(Settings!$D$13,INT($G791/HoursPerDay)+1,Holidays)</f>
        <v>46374</v>
      </c>
      <c r="J791" s="28">
        <f>IF($E791=0,$I791,WORKDAY(Settings!$D$13,ROUNDUP($H791/HoursPerDay,0),Holidays))</f>
        <v>46377</v>
      </c>
    </row>
    <row r="792" spans="1:10" x14ac:dyDescent="0.25">
      <c r="A792" s="25" t="s">
        <v>12</v>
      </c>
      <c r="B792" s="25" t="s">
        <v>653</v>
      </c>
      <c r="C792" s="25" t="s">
        <v>54</v>
      </c>
      <c r="D792" s="25" t="s">
        <v>51</v>
      </c>
      <c r="E792" s="26">
        <v>4</v>
      </c>
      <c r="F792" s="25" t="s">
        <v>52</v>
      </c>
      <c r="G792" s="27">
        <f>$H$787</f>
        <v>44</v>
      </c>
      <c r="H792" s="27">
        <f>$G792+$E792</f>
        <v>48</v>
      </c>
      <c r="I792" s="28">
        <f>WORKDAY(Settings!$D$13,INT($G792/HoursPerDay)+1,Holidays)</f>
        <v>46344</v>
      </c>
      <c r="J792" s="28">
        <f>IF($E792=0,$I792,WORKDAY(Settings!$D$13,ROUNDUP($H792/HoursPerDay,0),Holidays))</f>
        <v>46344</v>
      </c>
    </row>
    <row r="793" spans="1:10" x14ac:dyDescent="0.25">
      <c r="A793" s="25" t="s">
        <v>12</v>
      </c>
      <c r="B793" s="25" t="s">
        <v>654</v>
      </c>
      <c r="C793" s="25" t="s">
        <v>56</v>
      </c>
      <c r="D793" s="25" t="s">
        <v>51</v>
      </c>
      <c r="E793" s="26">
        <v>4</v>
      </c>
      <c r="F793" s="25" t="s">
        <v>57</v>
      </c>
      <c r="G793" s="27">
        <f>$H$788</f>
        <v>118</v>
      </c>
      <c r="H793" s="27">
        <f>$G793+$E793</f>
        <v>122</v>
      </c>
      <c r="I793" s="28">
        <f>WORKDAY(Settings!$D$13,INT($G793/HoursPerDay)+1,Holidays)</f>
        <v>46358</v>
      </c>
      <c r="J793" s="28">
        <f>IF($E793=0,$I793,WORKDAY(Settings!$D$13,ROUNDUP($H793/HoursPerDay,0),Holidays))</f>
        <v>46359</v>
      </c>
    </row>
    <row r="794" spans="1:10" x14ac:dyDescent="0.25">
      <c r="A794" s="25" t="s">
        <v>12</v>
      </c>
      <c r="B794" s="25" t="s">
        <v>655</v>
      </c>
      <c r="C794" s="25" t="s">
        <v>59</v>
      </c>
      <c r="D794" s="25" t="s">
        <v>51</v>
      </c>
      <c r="E794" s="26">
        <v>4</v>
      </c>
      <c r="F794" s="25" t="s">
        <v>60</v>
      </c>
      <c r="G794" s="27">
        <f>$H$789</f>
        <v>108</v>
      </c>
      <c r="H794" s="27">
        <f>$G794+$E794</f>
        <v>112</v>
      </c>
      <c r="I794" s="28">
        <f>WORKDAY(Settings!$D$13,INT($G794/HoursPerDay)+1,Holidays)</f>
        <v>46357</v>
      </c>
      <c r="J794" s="28">
        <f>IF($E794=0,$I794,WORKDAY(Settings!$D$13,ROUNDUP($H794/HoursPerDay,0),Holidays))</f>
        <v>46357</v>
      </c>
    </row>
    <row r="795" spans="1:10" x14ac:dyDescent="0.25">
      <c r="A795" s="22" t="s">
        <v>12</v>
      </c>
      <c r="B795" s="22" t="s">
        <v>656</v>
      </c>
      <c r="C795" s="22" t="s">
        <v>657</v>
      </c>
      <c r="D795" s="22" t="s">
        <v>48</v>
      </c>
      <c r="E795" s="23">
        <f>SUMIF($D796:$D799,"Task",$E796:$E799)</f>
        <v>21</v>
      </c>
      <c r="F795" s="22"/>
      <c r="G795" s="23"/>
      <c r="H795" s="23"/>
      <c r="I795" s="24">
        <f>MIN($I796:$I799)</f>
        <v>46344</v>
      </c>
      <c r="J795" s="24">
        <f>MAX($J796:$J799)</f>
        <v>46377</v>
      </c>
    </row>
    <row r="796" spans="1:10" x14ac:dyDescent="0.25">
      <c r="A796" s="25" t="s">
        <v>12</v>
      </c>
      <c r="B796" s="25" t="s">
        <v>658</v>
      </c>
      <c r="C796" s="25" t="s">
        <v>50</v>
      </c>
      <c r="D796" s="25" t="s">
        <v>51</v>
      </c>
      <c r="E796" s="26">
        <v>3</v>
      </c>
      <c r="F796" s="25" t="s">
        <v>78</v>
      </c>
      <c r="G796" s="27">
        <f>$H$791</f>
        <v>204</v>
      </c>
      <c r="H796" s="27">
        <f>$G796+$E796</f>
        <v>207</v>
      </c>
      <c r="I796" s="28">
        <f>WORKDAY(Settings!$D$13,INT($G796/HoursPerDay)+1,Holidays)</f>
        <v>46377</v>
      </c>
      <c r="J796" s="28">
        <f>IF($E796=0,$I796,WORKDAY(Settings!$D$13,ROUNDUP($H796/HoursPerDay,0),Holidays))</f>
        <v>46377</v>
      </c>
    </row>
    <row r="797" spans="1:10" x14ac:dyDescent="0.25">
      <c r="A797" s="25" t="s">
        <v>12</v>
      </c>
      <c r="B797" s="25" t="s">
        <v>659</v>
      </c>
      <c r="C797" s="25" t="s">
        <v>54</v>
      </c>
      <c r="D797" s="25" t="s">
        <v>51</v>
      </c>
      <c r="E797" s="26">
        <v>6</v>
      </c>
      <c r="F797" s="25" t="s">
        <v>52</v>
      </c>
      <c r="G797" s="27">
        <f>$H$792</f>
        <v>48</v>
      </c>
      <c r="H797" s="27">
        <f>$G797+$E797</f>
        <v>54</v>
      </c>
      <c r="I797" s="28">
        <f>WORKDAY(Settings!$D$13,INT($G797/HoursPerDay)+1,Holidays)</f>
        <v>46344</v>
      </c>
      <c r="J797" s="28">
        <f>IF($E797=0,$I797,WORKDAY(Settings!$D$13,ROUNDUP($H797/HoursPerDay,0),Holidays))</f>
        <v>46345</v>
      </c>
    </row>
    <row r="798" spans="1:10" x14ac:dyDescent="0.25">
      <c r="A798" s="25" t="s">
        <v>12</v>
      </c>
      <c r="B798" s="25" t="s">
        <v>660</v>
      </c>
      <c r="C798" s="25" t="s">
        <v>56</v>
      </c>
      <c r="D798" s="25" t="s">
        <v>51</v>
      </c>
      <c r="E798" s="26">
        <v>6</v>
      </c>
      <c r="F798" s="25" t="s">
        <v>57</v>
      </c>
      <c r="G798" s="27">
        <f>$H$793</f>
        <v>122</v>
      </c>
      <c r="H798" s="27">
        <f>$G798+$E798</f>
        <v>128</v>
      </c>
      <c r="I798" s="28">
        <f>WORKDAY(Settings!$D$13,INT($G798/HoursPerDay)+1,Holidays)</f>
        <v>46359</v>
      </c>
      <c r="J798" s="28">
        <f>IF($E798=0,$I798,WORKDAY(Settings!$D$13,ROUNDUP($H798/HoursPerDay,0),Holidays))</f>
        <v>46360</v>
      </c>
    </row>
    <row r="799" spans="1:10" x14ac:dyDescent="0.25">
      <c r="A799" s="25" t="s">
        <v>12</v>
      </c>
      <c r="B799" s="25" t="s">
        <v>661</v>
      </c>
      <c r="C799" s="25" t="s">
        <v>59</v>
      </c>
      <c r="D799" s="25" t="s">
        <v>51</v>
      </c>
      <c r="E799" s="26">
        <v>6</v>
      </c>
      <c r="F799" s="25" t="s">
        <v>60</v>
      </c>
      <c r="G799" s="27">
        <f>$H$794</f>
        <v>112</v>
      </c>
      <c r="H799" s="27">
        <f>$G799+$E799</f>
        <v>118</v>
      </c>
      <c r="I799" s="28">
        <f>WORKDAY(Settings!$D$13,INT($G799/HoursPerDay)+1,Holidays)</f>
        <v>46358</v>
      </c>
      <c r="J799" s="28">
        <f>IF($E799=0,$I799,WORKDAY(Settings!$D$13,ROUNDUP($H799/HoursPerDay,0),Holidays))</f>
        <v>46358</v>
      </c>
    </row>
    <row r="800" spans="1:10" x14ac:dyDescent="0.25">
      <c r="A800" s="22" t="s">
        <v>12</v>
      </c>
      <c r="B800" s="22" t="s">
        <v>662</v>
      </c>
      <c r="C800" s="22" t="s">
        <v>663</v>
      </c>
      <c r="D800" s="22" t="s">
        <v>48</v>
      </c>
      <c r="E800" s="23">
        <f>SUMIF($D801:$D804,"Task",$E801:$E804)</f>
        <v>21</v>
      </c>
      <c r="F800" s="22"/>
      <c r="G800" s="23"/>
      <c r="H800" s="23"/>
      <c r="I800" s="24">
        <f>MIN($I801:$I804)</f>
        <v>46345</v>
      </c>
      <c r="J800" s="24">
        <f>MAX($J801:$J804)</f>
        <v>46377</v>
      </c>
    </row>
    <row r="801" spans="1:10" x14ac:dyDescent="0.25">
      <c r="A801" s="25" t="s">
        <v>12</v>
      </c>
      <c r="B801" s="25" t="s">
        <v>664</v>
      </c>
      <c r="C801" s="25" t="s">
        <v>50</v>
      </c>
      <c r="D801" s="25" t="s">
        <v>51</v>
      </c>
      <c r="E801" s="26">
        <v>3</v>
      </c>
      <c r="F801" s="25" t="s">
        <v>78</v>
      </c>
      <c r="G801" s="27">
        <f>$H$796</f>
        <v>207</v>
      </c>
      <c r="H801" s="27">
        <f>$G801+$E801</f>
        <v>210</v>
      </c>
      <c r="I801" s="28">
        <f>WORKDAY(Settings!$D$13,INT($G801/HoursPerDay)+1,Holidays)</f>
        <v>46377</v>
      </c>
      <c r="J801" s="28">
        <f>IF($E801=0,$I801,WORKDAY(Settings!$D$13,ROUNDUP($H801/HoursPerDay,0),Holidays))</f>
        <v>46377</v>
      </c>
    </row>
    <row r="802" spans="1:10" x14ac:dyDescent="0.25">
      <c r="A802" s="25" t="s">
        <v>12</v>
      </c>
      <c r="B802" s="25" t="s">
        <v>665</v>
      </c>
      <c r="C802" s="25" t="s">
        <v>54</v>
      </c>
      <c r="D802" s="25" t="s">
        <v>51</v>
      </c>
      <c r="E802" s="26">
        <v>6</v>
      </c>
      <c r="F802" s="25" t="s">
        <v>52</v>
      </c>
      <c r="G802" s="27">
        <f>$H$797</f>
        <v>54</v>
      </c>
      <c r="H802" s="27">
        <f>$G802+$E802</f>
        <v>60</v>
      </c>
      <c r="I802" s="28">
        <f>WORKDAY(Settings!$D$13,INT($G802/HoursPerDay)+1,Holidays)</f>
        <v>46345</v>
      </c>
      <c r="J802" s="28">
        <f>IF($E802=0,$I802,WORKDAY(Settings!$D$13,ROUNDUP($H802/HoursPerDay,0),Holidays))</f>
        <v>46346</v>
      </c>
    </row>
    <row r="803" spans="1:10" x14ac:dyDescent="0.25">
      <c r="A803" s="25" t="s">
        <v>12</v>
      </c>
      <c r="B803" s="25" t="s">
        <v>666</v>
      </c>
      <c r="C803" s="25" t="s">
        <v>56</v>
      </c>
      <c r="D803" s="25" t="s">
        <v>51</v>
      </c>
      <c r="E803" s="26">
        <v>6</v>
      </c>
      <c r="F803" s="25" t="s">
        <v>561</v>
      </c>
      <c r="G803" s="27">
        <f>$H$783</f>
        <v>61</v>
      </c>
      <c r="H803" s="27">
        <f>$G803+$E803</f>
        <v>67</v>
      </c>
      <c r="I803" s="28">
        <f>WORKDAY(Settings!$D$13,INT($G803/HoursPerDay)+1,Holidays)</f>
        <v>46346</v>
      </c>
      <c r="J803" s="28">
        <f>IF($E803=0,$I803,WORKDAY(Settings!$D$13,ROUNDUP($H803/HoursPerDay,0),Holidays))</f>
        <v>46349</v>
      </c>
    </row>
    <row r="804" spans="1:10" x14ac:dyDescent="0.25">
      <c r="A804" s="25" t="s">
        <v>12</v>
      </c>
      <c r="B804" s="25" t="s">
        <v>667</v>
      </c>
      <c r="C804" s="25" t="s">
        <v>59</v>
      </c>
      <c r="D804" s="25" t="s">
        <v>51</v>
      </c>
      <c r="E804" s="26">
        <v>6</v>
      </c>
      <c r="F804" s="25" t="s">
        <v>60</v>
      </c>
      <c r="G804" s="27">
        <f>$H$799</f>
        <v>118</v>
      </c>
      <c r="H804" s="27">
        <f>$G804+$E804</f>
        <v>124</v>
      </c>
      <c r="I804" s="28">
        <f>WORKDAY(Settings!$D$13,INT($G804/HoursPerDay)+1,Holidays)</f>
        <v>46358</v>
      </c>
      <c r="J804" s="28">
        <f>IF($E804=0,$I804,WORKDAY(Settings!$D$13,ROUNDUP($H804/HoursPerDay,0),Holidays))</f>
        <v>46359</v>
      </c>
    </row>
    <row r="805" spans="1:10" x14ac:dyDescent="0.25">
      <c r="A805" s="22" t="s">
        <v>12</v>
      </c>
      <c r="B805" s="22" t="s">
        <v>668</v>
      </c>
      <c r="C805" s="22" t="s">
        <v>669</v>
      </c>
      <c r="D805" s="22" t="s">
        <v>48</v>
      </c>
      <c r="E805" s="23">
        <f>SUMIF($D806:$D809,"Task",$E806:$E809)</f>
        <v>14</v>
      </c>
      <c r="F805" s="22"/>
      <c r="G805" s="23"/>
      <c r="H805" s="23"/>
      <c r="I805" s="24">
        <f>MIN($I806:$I809)</f>
        <v>46346</v>
      </c>
      <c r="J805" s="24">
        <f>MAX($J806:$J809)</f>
        <v>46378</v>
      </c>
    </row>
    <row r="806" spans="1:10" x14ac:dyDescent="0.25">
      <c r="A806" s="25" t="s">
        <v>12</v>
      </c>
      <c r="B806" s="25" t="s">
        <v>670</v>
      </c>
      <c r="C806" s="25" t="s">
        <v>50</v>
      </c>
      <c r="D806" s="25" t="s">
        <v>51</v>
      </c>
      <c r="E806" s="26">
        <v>2</v>
      </c>
      <c r="F806" s="25" t="s">
        <v>78</v>
      </c>
      <c r="G806" s="27">
        <f>$H$801</f>
        <v>210</v>
      </c>
      <c r="H806" s="27">
        <f>$G806+$E806</f>
        <v>212</v>
      </c>
      <c r="I806" s="28">
        <f>WORKDAY(Settings!$D$13,INT($G806/HoursPerDay)+1,Holidays)</f>
        <v>46378</v>
      </c>
      <c r="J806" s="28">
        <f>IF($E806=0,$I806,WORKDAY(Settings!$D$13,ROUNDUP($H806/HoursPerDay,0),Holidays))</f>
        <v>46378</v>
      </c>
    </row>
    <row r="807" spans="1:10" x14ac:dyDescent="0.25">
      <c r="A807" s="25" t="s">
        <v>12</v>
      </c>
      <c r="B807" s="25" t="s">
        <v>671</v>
      </c>
      <c r="C807" s="25" t="s">
        <v>54</v>
      </c>
      <c r="D807" s="25" t="s">
        <v>51</v>
      </c>
      <c r="E807" s="26">
        <v>4</v>
      </c>
      <c r="F807" s="25" t="s">
        <v>52</v>
      </c>
      <c r="G807" s="27">
        <f>$H$802</f>
        <v>60</v>
      </c>
      <c r="H807" s="27">
        <f>$G807+$E807</f>
        <v>64</v>
      </c>
      <c r="I807" s="28">
        <f>WORKDAY(Settings!$D$13,INT($G807/HoursPerDay)+1,Holidays)</f>
        <v>46346</v>
      </c>
      <c r="J807" s="28">
        <f>IF($E807=0,$I807,WORKDAY(Settings!$D$13,ROUNDUP($H807/HoursPerDay,0),Holidays))</f>
        <v>46349</v>
      </c>
    </row>
    <row r="808" spans="1:10" x14ac:dyDescent="0.25">
      <c r="A808" s="25" t="s">
        <v>12</v>
      </c>
      <c r="B808" s="25" t="s">
        <v>672</v>
      </c>
      <c r="C808" s="25" t="s">
        <v>56</v>
      </c>
      <c r="D808" s="25" t="s">
        <v>51</v>
      </c>
      <c r="E808" s="26">
        <v>4</v>
      </c>
      <c r="F808" s="25" t="s">
        <v>57</v>
      </c>
      <c r="G808" s="27">
        <f>$H$798</f>
        <v>128</v>
      </c>
      <c r="H808" s="27">
        <f>$G808+$E808</f>
        <v>132</v>
      </c>
      <c r="I808" s="28">
        <f>WORKDAY(Settings!$D$13,INT($G808/HoursPerDay)+1,Holidays)</f>
        <v>46360</v>
      </c>
      <c r="J808" s="28">
        <f>IF($E808=0,$I808,WORKDAY(Settings!$D$13,ROUNDUP($H808/HoursPerDay,0),Holidays))</f>
        <v>46360</v>
      </c>
    </row>
    <row r="809" spans="1:10" x14ac:dyDescent="0.25">
      <c r="A809" s="25" t="s">
        <v>12</v>
      </c>
      <c r="B809" s="25" t="s">
        <v>673</v>
      </c>
      <c r="C809" s="25" t="s">
        <v>59</v>
      </c>
      <c r="D809" s="25" t="s">
        <v>51</v>
      </c>
      <c r="E809" s="26">
        <v>4</v>
      </c>
      <c r="F809" s="25" t="s">
        <v>60</v>
      </c>
      <c r="G809" s="27">
        <f>$H$804</f>
        <v>124</v>
      </c>
      <c r="H809" s="27">
        <f>$G809+$E809</f>
        <v>128</v>
      </c>
      <c r="I809" s="28">
        <f>WORKDAY(Settings!$D$13,INT($G809/HoursPerDay)+1,Holidays)</f>
        <v>46359</v>
      </c>
      <c r="J809" s="28">
        <f>IF($E809=0,$I809,WORKDAY(Settings!$D$13,ROUNDUP($H809/HoursPerDay,0),Holidays))</f>
        <v>46360</v>
      </c>
    </row>
    <row r="810" spans="1:10" x14ac:dyDescent="0.25">
      <c r="A810" s="22" t="s">
        <v>12</v>
      </c>
      <c r="B810" s="22" t="s">
        <v>674</v>
      </c>
      <c r="C810" s="22" t="s">
        <v>675</v>
      </c>
      <c r="D810" s="22" t="s">
        <v>48</v>
      </c>
      <c r="E810" s="23">
        <f>SUMIF($D811:$D814,"Task",$E811:$E814)</f>
        <v>14</v>
      </c>
      <c r="F810" s="22"/>
      <c r="G810" s="23"/>
      <c r="H810" s="23"/>
      <c r="I810" s="24">
        <f>MIN($I811:$I814)</f>
        <v>46349</v>
      </c>
      <c r="J810" s="24">
        <f>MAX($J811:$J814)</f>
        <v>46378</v>
      </c>
    </row>
    <row r="811" spans="1:10" x14ac:dyDescent="0.25">
      <c r="A811" s="25" t="s">
        <v>12</v>
      </c>
      <c r="B811" s="25" t="s">
        <v>676</v>
      </c>
      <c r="C811" s="25" t="s">
        <v>50</v>
      </c>
      <c r="D811" s="25" t="s">
        <v>51</v>
      </c>
      <c r="E811" s="26">
        <v>2</v>
      </c>
      <c r="F811" s="25" t="s">
        <v>78</v>
      </c>
      <c r="G811" s="27">
        <f>$H$806</f>
        <v>212</v>
      </c>
      <c r="H811" s="27">
        <f>$G811+$E811</f>
        <v>214</v>
      </c>
      <c r="I811" s="28">
        <f>WORKDAY(Settings!$D$13,INT($G811/HoursPerDay)+1,Holidays)</f>
        <v>46378</v>
      </c>
      <c r="J811" s="28">
        <f>IF($E811=0,$I811,WORKDAY(Settings!$D$13,ROUNDUP($H811/HoursPerDay,0),Holidays))</f>
        <v>46378</v>
      </c>
    </row>
    <row r="812" spans="1:10" x14ac:dyDescent="0.25">
      <c r="A812" s="25" t="s">
        <v>12</v>
      </c>
      <c r="B812" s="25" t="s">
        <v>677</v>
      </c>
      <c r="C812" s="25" t="s">
        <v>54</v>
      </c>
      <c r="D812" s="25" t="s">
        <v>51</v>
      </c>
      <c r="E812" s="26">
        <v>4</v>
      </c>
      <c r="F812" s="25" t="s">
        <v>52</v>
      </c>
      <c r="G812" s="27">
        <f>$H$807</f>
        <v>64</v>
      </c>
      <c r="H812" s="27">
        <f>$G812+$E812</f>
        <v>68</v>
      </c>
      <c r="I812" s="28">
        <f>WORKDAY(Settings!$D$13,INT($G812/HoursPerDay)+1,Holidays)</f>
        <v>46349</v>
      </c>
      <c r="J812" s="28">
        <f>IF($E812=0,$I812,WORKDAY(Settings!$D$13,ROUNDUP($H812/HoursPerDay,0),Holidays))</f>
        <v>46349</v>
      </c>
    </row>
    <row r="813" spans="1:10" x14ac:dyDescent="0.25">
      <c r="A813" s="25" t="s">
        <v>12</v>
      </c>
      <c r="B813" s="25" t="s">
        <v>678</v>
      </c>
      <c r="C813" s="25" t="s">
        <v>56</v>
      </c>
      <c r="D813" s="25" t="s">
        <v>51</v>
      </c>
      <c r="E813" s="26">
        <v>4</v>
      </c>
      <c r="F813" s="25" t="s">
        <v>57</v>
      </c>
      <c r="G813" s="27">
        <f>$H$808</f>
        <v>132</v>
      </c>
      <c r="H813" s="27">
        <f>$G813+$E813</f>
        <v>136</v>
      </c>
      <c r="I813" s="28">
        <f>WORKDAY(Settings!$D$13,INT($G813/HoursPerDay)+1,Holidays)</f>
        <v>46360</v>
      </c>
      <c r="J813" s="28">
        <f>IF($E813=0,$I813,WORKDAY(Settings!$D$13,ROUNDUP($H813/HoursPerDay,0),Holidays))</f>
        <v>46363</v>
      </c>
    </row>
    <row r="814" spans="1:10" x14ac:dyDescent="0.25">
      <c r="A814" s="25" t="s">
        <v>12</v>
      </c>
      <c r="B814" s="25" t="s">
        <v>679</v>
      </c>
      <c r="C814" s="25" t="s">
        <v>59</v>
      </c>
      <c r="D814" s="25" t="s">
        <v>51</v>
      </c>
      <c r="E814" s="26">
        <v>4</v>
      </c>
      <c r="F814" s="25" t="s">
        <v>60</v>
      </c>
      <c r="G814" s="27">
        <f>$H$809</f>
        <v>128</v>
      </c>
      <c r="H814" s="27">
        <f>$G814+$E814</f>
        <v>132</v>
      </c>
      <c r="I814" s="28">
        <f>WORKDAY(Settings!$D$13,INT($G814/HoursPerDay)+1,Holidays)</f>
        <v>46360</v>
      </c>
      <c r="J814" s="28">
        <f>IF($E814=0,$I814,WORKDAY(Settings!$D$13,ROUNDUP($H814/HoursPerDay,0),Holidays))</f>
        <v>46360</v>
      </c>
    </row>
    <row r="815" spans="1:10" x14ac:dyDescent="0.25">
      <c r="A815" s="22" t="s">
        <v>12</v>
      </c>
      <c r="B815" s="22" t="s">
        <v>680</v>
      </c>
      <c r="C815" s="22" t="s">
        <v>681</v>
      </c>
      <c r="D815" s="22" t="s">
        <v>48</v>
      </c>
      <c r="E815" s="23">
        <f>SUMIF($D816:$D818,"Task",$E816:$E818)</f>
        <v>12</v>
      </c>
      <c r="F815" s="22"/>
      <c r="G815" s="23"/>
      <c r="H815" s="23"/>
      <c r="I815" s="24">
        <f>MIN($I816:$I818)</f>
        <v>46349</v>
      </c>
      <c r="J815" s="24">
        <f>MAX($J816:$J818)</f>
        <v>46363</v>
      </c>
    </row>
    <row r="816" spans="1:10" x14ac:dyDescent="0.25">
      <c r="A816" s="25" t="s">
        <v>12</v>
      </c>
      <c r="B816" s="25" t="s">
        <v>682</v>
      </c>
      <c r="C816" s="25" t="s">
        <v>54</v>
      </c>
      <c r="D816" s="25" t="s">
        <v>51</v>
      </c>
      <c r="E816" s="26">
        <v>4</v>
      </c>
      <c r="F816" s="25" t="s">
        <v>52</v>
      </c>
      <c r="G816" s="27">
        <f>$H$812</f>
        <v>68</v>
      </c>
      <c r="H816" s="27">
        <f>$G816+$E816</f>
        <v>72</v>
      </c>
      <c r="I816" s="28">
        <f>WORKDAY(Settings!$D$13,INT($G816/HoursPerDay)+1,Holidays)</f>
        <v>46349</v>
      </c>
      <c r="J816" s="28">
        <f>IF($E816=0,$I816,WORKDAY(Settings!$D$13,ROUNDUP($H816/HoursPerDay,0),Holidays))</f>
        <v>46350</v>
      </c>
    </row>
    <row r="817" spans="1:10" x14ac:dyDescent="0.25">
      <c r="A817" s="25" t="s">
        <v>12</v>
      </c>
      <c r="B817" s="25" t="s">
        <v>683</v>
      </c>
      <c r="C817" s="25" t="s">
        <v>56</v>
      </c>
      <c r="D817" s="25" t="s">
        <v>51</v>
      </c>
      <c r="E817" s="26">
        <v>4</v>
      </c>
      <c r="F817" s="25" t="s">
        <v>57</v>
      </c>
      <c r="G817" s="27">
        <f>$H$813</f>
        <v>136</v>
      </c>
      <c r="H817" s="27">
        <f>$G817+$E817</f>
        <v>140</v>
      </c>
      <c r="I817" s="28">
        <f>WORKDAY(Settings!$D$13,INT($G817/HoursPerDay)+1,Holidays)</f>
        <v>46363</v>
      </c>
      <c r="J817" s="28">
        <f>IF($E817=0,$I817,WORKDAY(Settings!$D$13,ROUNDUP($H817/HoursPerDay,0),Holidays))</f>
        <v>46363</v>
      </c>
    </row>
    <row r="818" spans="1:10" x14ac:dyDescent="0.25">
      <c r="A818" s="25" t="s">
        <v>12</v>
      </c>
      <c r="B818" s="25" t="s">
        <v>684</v>
      </c>
      <c r="C818" s="25" t="s">
        <v>59</v>
      </c>
      <c r="D818" s="25" t="s">
        <v>51</v>
      </c>
      <c r="E818" s="26">
        <v>4</v>
      </c>
      <c r="F818" s="25" t="s">
        <v>60</v>
      </c>
      <c r="G818" s="27">
        <f>$H$814</f>
        <v>132</v>
      </c>
      <c r="H818" s="27">
        <f>$G818+$E818</f>
        <v>136</v>
      </c>
      <c r="I818" s="28">
        <f>WORKDAY(Settings!$D$13,INT($G818/HoursPerDay)+1,Holidays)</f>
        <v>46360</v>
      </c>
      <c r="J818" s="28">
        <f>IF($E818=0,$I818,WORKDAY(Settings!$D$13,ROUNDUP($H818/HoursPerDay,0),Holidays))</f>
        <v>46363</v>
      </c>
    </row>
    <row r="819" spans="1:10" x14ac:dyDescent="0.25">
      <c r="A819" s="22" t="s">
        <v>12</v>
      </c>
      <c r="B819" s="22" t="s">
        <v>685</v>
      </c>
      <c r="C819" s="22" t="s">
        <v>686</v>
      </c>
      <c r="D819" s="22" t="s">
        <v>48</v>
      </c>
      <c r="E819" s="23">
        <f>SUMIF($D820:$D823,"Task",$E820:$E823)</f>
        <v>14</v>
      </c>
      <c r="F819" s="22"/>
      <c r="G819" s="23"/>
      <c r="H819" s="23"/>
      <c r="I819" s="24">
        <f>MIN($I820:$I823)</f>
        <v>46350</v>
      </c>
      <c r="J819" s="24">
        <f>MAX($J820:$J823)</f>
        <v>46378</v>
      </c>
    </row>
    <row r="820" spans="1:10" x14ac:dyDescent="0.25">
      <c r="A820" s="25" t="s">
        <v>12</v>
      </c>
      <c r="B820" s="25" t="s">
        <v>687</v>
      </c>
      <c r="C820" s="25" t="s">
        <v>50</v>
      </c>
      <c r="D820" s="25" t="s">
        <v>51</v>
      </c>
      <c r="E820" s="26">
        <v>2</v>
      </c>
      <c r="F820" s="25" t="s">
        <v>78</v>
      </c>
      <c r="G820" s="27">
        <f>$H$811</f>
        <v>214</v>
      </c>
      <c r="H820" s="27">
        <f>$G820+$E820</f>
        <v>216</v>
      </c>
      <c r="I820" s="28">
        <f>WORKDAY(Settings!$D$13,INT($G820/HoursPerDay)+1,Holidays)</f>
        <v>46378</v>
      </c>
      <c r="J820" s="28">
        <f>IF($E820=0,$I820,WORKDAY(Settings!$D$13,ROUNDUP($H820/HoursPerDay,0),Holidays))</f>
        <v>46378</v>
      </c>
    </row>
    <row r="821" spans="1:10" x14ac:dyDescent="0.25">
      <c r="A821" s="25" t="s">
        <v>12</v>
      </c>
      <c r="B821" s="25" t="s">
        <v>688</v>
      </c>
      <c r="C821" s="25" t="s">
        <v>54</v>
      </c>
      <c r="D821" s="25" t="s">
        <v>51</v>
      </c>
      <c r="E821" s="26">
        <v>4</v>
      </c>
      <c r="F821" s="25" t="s">
        <v>52</v>
      </c>
      <c r="G821" s="27">
        <f>$H$816</f>
        <v>72</v>
      </c>
      <c r="H821" s="27">
        <f>$G821+$E821</f>
        <v>76</v>
      </c>
      <c r="I821" s="28">
        <f>WORKDAY(Settings!$D$13,INT($G821/HoursPerDay)+1,Holidays)</f>
        <v>46350</v>
      </c>
      <c r="J821" s="28">
        <f>IF($E821=0,$I821,WORKDAY(Settings!$D$13,ROUNDUP($H821/HoursPerDay,0),Holidays))</f>
        <v>46350</v>
      </c>
    </row>
    <row r="822" spans="1:10" x14ac:dyDescent="0.25">
      <c r="A822" s="25" t="s">
        <v>12</v>
      </c>
      <c r="B822" s="25" t="s">
        <v>689</v>
      </c>
      <c r="C822" s="25" t="s">
        <v>56</v>
      </c>
      <c r="D822" s="25" t="s">
        <v>51</v>
      </c>
      <c r="E822" s="26">
        <v>4</v>
      </c>
      <c r="F822" s="25" t="s">
        <v>57</v>
      </c>
      <c r="G822" s="27">
        <f>$H$817</f>
        <v>140</v>
      </c>
      <c r="H822" s="27">
        <f>$G822+$E822</f>
        <v>144</v>
      </c>
      <c r="I822" s="28">
        <f>WORKDAY(Settings!$D$13,INT($G822/HoursPerDay)+1,Holidays)</f>
        <v>46364</v>
      </c>
      <c r="J822" s="28">
        <f>IF($E822=0,$I822,WORKDAY(Settings!$D$13,ROUNDUP($H822/HoursPerDay,0),Holidays))</f>
        <v>46364</v>
      </c>
    </row>
    <row r="823" spans="1:10" x14ac:dyDescent="0.25">
      <c r="A823" s="25" t="s">
        <v>12</v>
      </c>
      <c r="B823" s="25" t="s">
        <v>690</v>
      </c>
      <c r="C823" s="25" t="s">
        <v>59</v>
      </c>
      <c r="D823" s="25" t="s">
        <v>51</v>
      </c>
      <c r="E823" s="26">
        <v>4</v>
      </c>
      <c r="F823" s="25" t="s">
        <v>60</v>
      </c>
      <c r="G823" s="27">
        <f>$H$818</f>
        <v>136</v>
      </c>
      <c r="H823" s="27">
        <f>$G823+$E823</f>
        <v>140</v>
      </c>
      <c r="I823" s="28">
        <f>WORKDAY(Settings!$D$13,INT($G823/HoursPerDay)+1,Holidays)</f>
        <v>46363</v>
      </c>
      <c r="J823" s="28">
        <f>IF($E823=0,$I823,WORKDAY(Settings!$D$13,ROUNDUP($H823/HoursPerDay,0),Holidays))</f>
        <v>46363</v>
      </c>
    </row>
    <row r="824" spans="1:10" x14ac:dyDescent="0.25">
      <c r="A824" s="22" t="s">
        <v>12</v>
      </c>
      <c r="B824" s="22" t="s">
        <v>691</v>
      </c>
      <c r="C824" s="22" t="s">
        <v>692</v>
      </c>
      <c r="D824" s="22" t="s">
        <v>48</v>
      </c>
      <c r="E824" s="23">
        <f>SUMIF($D825:$D827,"Task",$E825:$E827)</f>
        <v>12</v>
      </c>
      <c r="F824" s="22"/>
      <c r="G824" s="23"/>
      <c r="H824" s="23"/>
      <c r="I824" s="24">
        <f>MIN($I825:$I827)</f>
        <v>46350</v>
      </c>
      <c r="J824" s="24">
        <f>MAX($J825:$J827)</f>
        <v>46365</v>
      </c>
    </row>
    <row r="825" spans="1:10" x14ac:dyDescent="0.25">
      <c r="A825" s="25" t="s">
        <v>12</v>
      </c>
      <c r="B825" s="25" t="s">
        <v>693</v>
      </c>
      <c r="C825" s="25" t="s">
        <v>54</v>
      </c>
      <c r="D825" s="25" t="s">
        <v>51</v>
      </c>
      <c r="E825" s="26">
        <v>4</v>
      </c>
      <c r="F825" s="25" t="s">
        <v>52</v>
      </c>
      <c r="G825" s="27">
        <f>$H$821</f>
        <v>76</v>
      </c>
      <c r="H825" s="27">
        <f>$G825+$E825</f>
        <v>80</v>
      </c>
      <c r="I825" s="28">
        <f>WORKDAY(Settings!$D$13,INT($G825/HoursPerDay)+1,Holidays)</f>
        <v>46350</v>
      </c>
      <c r="J825" s="28">
        <f>IF($E825=0,$I825,WORKDAY(Settings!$D$13,ROUNDUP($H825/HoursPerDay,0),Holidays))</f>
        <v>46351</v>
      </c>
    </row>
    <row r="826" spans="1:10" x14ac:dyDescent="0.25">
      <c r="A826" s="25" t="s">
        <v>12</v>
      </c>
      <c r="B826" s="25" t="s">
        <v>694</v>
      </c>
      <c r="C826" s="25" t="s">
        <v>56</v>
      </c>
      <c r="D826" s="25" t="s">
        <v>51</v>
      </c>
      <c r="E826" s="26">
        <v>4</v>
      </c>
      <c r="F826" s="25" t="s">
        <v>57</v>
      </c>
      <c r="G826" s="27">
        <f>$H$822</f>
        <v>144</v>
      </c>
      <c r="H826" s="27">
        <f>$G826+$E826</f>
        <v>148</v>
      </c>
      <c r="I826" s="28">
        <f>WORKDAY(Settings!$D$13,INT($G826/HoursPerDay)+1,Holidays)</f>
        <v>46364</v>
      </c>
      <c r="J826" s="28">
        <f>IF($E826=0,$I826,WORKDAY(Settings!$D$13,ROUNDUP($H826/HoursPerDay,0),Holidays))</f>
        <v>46365</v>
      </c>
    </row>
    <row r="827" spans="1:10" x14ac:dyDescent="0.25">
      <c r="A827" s="25" t="s">
        <v>12</v>
      </c>
      <c r="B827" s="25" t="s">
        <v>695</v>
      </c>
      <c r="C827" s="25" t="s">
        <v>59</v>
      </c>
      <c r="D827" s="25" t="s">
        <v>51</v>
      </c>
      <c r="E827" s="26">
        <v>4</v>
      </c>
      <c r="F827" s="25" t="s">
        <v>60</v>
      </c>
      <c r="G827" s="27">
        <f>$H$823</f>
        <v>140</v>
      </c>
      <c r="H827" s="27">
        <f>$G827+$E827</f>
        <v>144</v>
      </c>
      <c r="I827" s="28">
        <f>WORKDAY(Settings!$D$13,INT($G827/HoursPerDay)+1,Holidays)</f>
        <v>46364</v>
      </c>
      <c r="J827" s="28">
        <f>IF($E827=0,$I827,WORKDAY(Settings!$D$13,ROUNDUP($H827/HoursPerDay,0),Holidays))</f>
        <v>46364</v>
      </c>
    </row>
    <row r="828" spans="1:10" x14ac:dyDescent="0.25">
      <c r="A828" s="22" t="s">
        <v>12</v>
      </c>
      <c r="B828" s="22" t="s">
        <v>696</v>
      </c>
      <c r="C828" s="22" t="s">
        <v>697</v>
      </c>
      <c r="D828" s="22" t="s">
        <v>48</v>
      </c>
      <c r="E828" s="23">
        <f>SUMIF($D829:$D832,"Task",$E829:$E832)</f>
        <v>14</v>
      </c>
      <c r="F828" s="22"/>
      <c r="G828" s="23"/>
      <c r="H828" s="23"/>
      <c r="I828" s="24">
        <f>MIN($I829:$I832)</f>
        <v>46351</v>
      </c>
      <c r="J828" s="24">
        <f>MAX($J829:$J832)</f>
        <v>46379</v>
      </c>
    </row>
    <row r="829" spans="1:10" x14ac:dyDescent="0.25">
      <c r="A829" s="25" t="s">
        <v>12</v>
      </c>
      <c r="B829" s="25" t="s">
        <v>698</v>
      </c>
      <c r="C829" s="25" t="s">
        <v>50</v>
      </c>
      <c r="D829" s="25" t="s">
        <v>51</v>
      </c>
      <c r="E829" s="26">
        <v>2</v>
      </c>
      <c r="F829" s="25" t="s">
        <v>78</v>
      </c>
      <c r="G829" s="27">
        <f>$H$820</f>
        <v>216</v>
      </c>
      <c r="H829" s="27">
        <f>$G829+$E829</f>
        <v>218</v>
      </c>
      <c r="I829" s="28">
        <f>WORKDAY(Settings!$D$13,INT($G829/HoursPerDay)+1,Holidays)</f>
        <v>46378</v>
      </c>
      <c r="J829" s="28">
        <f>IF($E829=0,$I829,WORKDAY(Settings!$D$13,ROUNDUP($H829/HoursPerDay,0),Holidays))</f>
        <v>46379</v>
      </c>
    </row>
    <row r="830" spans="1:10" x14ac:dyDescent="0.25">
      <c r="A830" s="25" t="s">
        <v>12</v>
      </c>
      <c r="B830" s="25" t="s">
        <v>699</v>
      </c>
      <c r="C830" s="25" t="s">
        <v>54</v>
      </c>
      <c r="D830" s="25" t="s">
        <v>51</v>
      </c>
      <c r="E830" s="26">
        <v>4</v>
      </c>
      <c r="F830" s="25" t="s">
        <v>52</v>
      </c>
      <c r="G830" s="27">
        <f>$H$825</f>
        <v>80</v>
      </c>
      <c r="H830" s="27">
        <f>$G830+$E830</f>
        <v>84</v>
      </c>
      <c r="I830" s="28">
        <f>WORKDAY(Settings!$D$13,INT($G830/HoursPerDay)+1,Holidays)</f>
        <v>46351</v>
      </c>
      <c r="J830" s="28">
        <f>IF($E830=0,$I830,WORKDAY(Settings!$D$13,ROUNDUP($H830/HoursPerDay,0),Holidays))</f>
        <v>46351</v>
      </c>
    </row>
    <row r="831" spans="1:10" x14ac:dyDescent="0.25">
      <c r="A831" s="25" t="s">
        <v>12</v>
      </c>
      <c r="B831" s="25" t="s">
        <v>700</v>
      </c>
      <c r="C831" s="25" t="s">
        <v>56</v>
      </c>
      <c r="D831" s="25" t="s">
        <v>51</v>
      </c>
      <c r="E831" s="26">
        <v>4</v>
      </c>
      <c r="F831" s="25" t="s">
        <v>57</v>
      </c>
      <c r="G831" s="27">
        <f>$H$826</f>
        <v>148</v>
      </c>
      <c r="H831" s="27">
        <f>$G831+$E831</f>
        <v>152</v>
      </c>
      <c r="I831" s="28">
        <f>WORKDAY(Settings!$D$13,INT($G831/HoursPerDay)+1,Holidays)</f>
        <v>46365</v>
      </c>
      <c r="J831" s="28">
        <f>IF($E831=0,$I831,WORKDAY(Settings!$D$13,ROUNDUP($H831/HoursPerDay,0),Holidays))</f>
        <v>46365</v>
      </c>
    </row>
    <row r="832" spans="1:10" x14ac:dyDescent="0.25">
      <c r="A832" s="25" t="s">
        <v>12</v>
      </c>
      <c r="B832" s="25" t="s">
        <v>701</v>
      </c>
      <c r="C832" s="25" t="s">
        <v>59</v>
      </c>
      <c r="D832" s="25" t="s">
        <v>51</v>
      </c>
      <c r="E832" s="26">
        <v>4</v>
      </c>
      <c r="F832" s="25" t="s">
        <v>60</v>
      </c>
      <c r="G832" s="27">
        <f>$H$827</f>
        <v>144</v>
      </c>
      <c r="H832" s="27">
        <f>$G832+$E832</f>
        <v>148</v>
      </c>
      <c r="I832" s="28">
        <f>WORKDAY(Settings!$D$13,INT($G832/HoursPerDay)+1,Holidays)</f>
        <v>46364</v>
      </c>
      <c r="J832" s="28">
        <f>IF($E832=0,$I832,WORKDAY(Settings!$D$13,ROUNDUP($H832/HoursPerDay,0),Holidays))</f>
        <v>46365</v>
      </c>
    </row>
    <row r="833" spans="1:10" x14ac:dyDescent="0.25">
      <c r="A833" s="19" t="s">
        <v>12</v>
      </c>
      <c r="B833" s="19" t="s">
        <v>205</v>
      </c>
      <c r="C833" s="19" t="s">
        <v>702</v>
      </c>
      <c r="D833" s="19" t="s">
        <v>45</v>
      </c>
      <c r="E833" s="20">
        <f>SUMIF($D834:$D871,"Task",$E834:$E871)</f>
        <v>122</v>
      </c>
      <c r="F833" s="19"/>
      <c r="G833" s="20"/>
      <c r="H833" s="20"/>
      <c r="I833" s="21">
        <f>MIN($I834:$I871)</f>
        <v>46352</v>
      </c>
      <c r="J833" s="21">
        <f>MAX($J834:$J871)</f>
        <v>46384</v>
      </c>
    </row>
    <row r="834" spans="1:10" x14ac:dyDescent="0.25">
      <c r="A834" s="22" t="s">
        <v>12</v>
      </c>
      <c r="B834" s="22" t="s">
        <v>207</v>
      </c>
      <c r="C834" s="22" t="s">
        <v>703</v>
      </c>
      <c r="D834" s="22" t="s">
        <v>48</v>
      </c>
      <c r="E834" s="23">
        <f>SUMIF($D835:$D838,"Task",$E835:$E838)</f>
        <v>14</v>
      </c>
      <c r="F834" s="22"/>
      <c r="G834" s="23"/>
      <c r="H834" s="23"/>
      <c r="I834" s="24">
        <f>MIN($I835:$I838)</f>
        <v>46352</v>
      </c>
      <c r="J834" s="24">
        <f>MAX($J835:$J838)</f>
        <v>46379</v>
      </c>
    </row>
    <row r="835" spans="1:10" x14ac:dyDescent="0.25">
      <c r="A835" s="25" t="s">
        <v>12</v>
      </c>
      <c r="B835" s="25" t="s">
        <v>209</v>
      </c>
      <c r="C835" s="25" t="s">
        <v>50</v>
      </c>
      <c r="D835" s="25" t="s">
        <v>51</v>
      </c>
      <c r="E835" s="26">
        <v>2</v>
      </c>
      <c r="F835" s="25" t="s">
        <v>78</v>
      </c>
      <c r="G835" s="27">
        <f>$H$829</f>
        <v>218</v>
      </c>
      <c r="H835" s="27">
        <f>$G835+$E835</f>
        <v>220</v>
      </c>
      <c r="I835" s="28">
        <f>WORKDAY(Settings!$D$13,INT($G835/HoursPerDay)+1,Holidays)</f>
        <v>46379</v>
      </c>
      <c r="J835" s="28">
        <f>IF($E835=0,$I835,WORKDAY(Settings!$D$13,ROUNDUP($H835/HoursPerDay,0),Holidays))</f>
        <v>46379</v>
      </c>
    </row>
    <row r="836" spans="1:10" x14ac:dyDescent="0.25">
      <c r="A836" s="25" t="s">
        <v>12</v>
      </c>
      <c r="B836" s="25" t="s">
        <v>210</v>
      </c>
      <c r="C836" s="25" t="s">
        <v>54</v>
      </c>
      <c r="D836" s="25" t="s">
        <v>51</v>
      </c>
      <c r="E836" s="26">
        <v>4</v>
      </c>
      <c r="F836" s="25" t="s">
        <v>52</v>
      </c>
      <c r="G836" s="27">
        <f>$H$830</f>
        <v>84</v>
      </c>
      <c r="H836" s="27">
        <f>$G836+$E836</f>
        <v>88</v>
      </c>
      <c r="I836" s="28">
        <f>WORKDAY(Settings!$D$13,INT($G836/HoursPerDay)+1,Holidays)</f>
        <v>46352</v>
      </c>
      <c r="J836" s="28">
        <f>IF($E836=0,$I836,WORKDAY(Settings!$D$13,ROUNDUP($H836/HoursPerDay,0),Holidays))</f>
        <v>46352</v>
      </c>
    </row>
    <row r="837" spans="1:10" x14ac:dyDescent="0.25">
      <c r="A837" s="25" t="s">
        <v>12</v>
      </c>
      <c r="B837" s="25" t="s">
        <v>211</v>
      </c>
      <c r="C837" s="25" t="s">
        <v>56</v>
      </c>
      <c r="D837" s="25" t="s">
        <v>51</v>
      </c>
      <c r="E837" s="26">
        <v>4</v>
      </c>
      <c r="F837" s="25" t="s">
        <v>57</v>
      </c>
      <c r="G837" s="27">
        <f>$H$831</f>
        <v>152</v>
      </c>
      <c r="H837" s="27">
        <f>$G837+$E837</f>
        <v>156</v>
      </c>
      <c r="I837" s="28">
        <f>WORKDAY(Settings!$D$13,INT($G837/HoursPerDay)+1,Holidays)</f>
        <v>46365</v>
      </c>
      <c r="J837" s="28">
        <f>IF($E837=0,$I837,WORKDAY(Settings!$D$13,ROUNDUP($H837/HoursPerDay,0),Holidays))</f>
        <v>46366</v>
      </c>
    </row>
    <row r="838" spans="1:10" x14ac:dyDescent="0.25">
      <c r="A838" s="25" t="s">
        <v>12</v>
      </c>
      <c r="B838" s="25" t="s">
        <v>362</v>
      </c>
      <c r="C838" s="25" t="s">
        <v>59</v>
      </c>
      <c r="D838" s="25" t="s">
        <v>51</v>
      </c>
      <c r="E838" s="26">
        <v>4</v>
      </c>
      <c r="F838" s="25" t="s">
        <v>60</v>
      </c>
      <c r="G838" s="27">
        <f>$H$832</f>
        <v>148</v>
      </c>
      <c r="H838" s="27">
        <f>$G838+$E838</f>
        <v>152</v>
      </c>
      <c r="I838" s="28">
        <f>WORKDAY(Settings!$D$13,INT($G838/HoursPerDay)+1,Holidays)</f>
        <v>46365</v>
      </c>
      <c r="J838" s="28">
        <f>IF($E838=0,$I838,WORKDAY(Settings!$D$13,ROUNDUP($H838/HoursPerDay,0),Holidays))</f>
        <v>46365</v>
      </c>
    </row>
    <row r="839" spans="1:10" x14ac:dyDescent="0.25">
      <c r="A839" s="22" t="s">
        <v>12</v>
      </c>
      <c r="B839" s="22" t="s">
        <v>212</v>
      </c>
      <c r="C839" s="22" t="s">
        <v>704</v>
      </c>
      <c r="D839" s="22" t="s">
        <v>48</v>
      </c>
      <c r="E839" s="23">
        <f>SUMIF($D840:$D843,"Task",$E840:$E843)</f>
        <v>14</v>
      </c>
      <c r="F839" s="22"/>
      <c r="G839" s="23"/>
      <c r="H839" s="23"/>
      <c r="I839" s="24">
        <f>MIN($I840:$I843)</f>
        <v>46352</v>
      </c>
      <c r="J839" s="24">
        <f>MAX($J840:$J843)</f>
        <v>46379</v>
      </c>
    </row>
    <row r="840" spans="1:10" x14ac:dyDescent="0.25">
      <c r="A840" s="25" t="s">
        <v>12</v>
      </c>
      <c r="B840" s="25" t="s">
        <v>214</v>
      </c>
      <c r="C840" s="25" t="s">
        <v>50</v>
      </c>
      <c r="D840" s="25" t="s">
        <v>51</v>
      </c>
      <c r="E840" s="26">
        <v>2</v>
      </c>
      <c r="F840" s="25" t="s">
        <v>78</v>
      </c>
      <c r="G840" s="27">
        <f>$H$835</f>
        <v>220</v>
      </c>
      <c r="H840" s="27">
        <f>$G840+$E840</f>
        <v>222</v>
      </c>
      <c r="I840" s="28">
        <f>WORKDAY(Settings!$D$13,INT($G840/HoursPerDay)+1,Holidays)</f>
        <v>46379</v>
      </c>
      <c r="J840" s="28">
        <f>IF($E840=0,$I840,WORKDAY(Settings!$D$13,ROUNDUP($H840/HoursPerDay,0),Holidays))</f>
        <v>46379</v>
      </c>
    </row>
    <row r="841" spans="1:10" x14ac:dyDescent="0.25">
      <c r="A841" s="25" t="s">
        <v>12</v>
      </c>
      <c r="B841" s="25" t="s">
        <v>215</v>
      </c>
      <c r="C841" s="25" t="s">
        <v>54</v>
      </c>
      <c r="D841" s="25" t="s">
        <v>51</v>
      </c>
      <c r="E841" s="26">
        <v>4</v>
      </c>
      <c r="F841" s="25" t="s">
        <v>52</v>
      </c>
      <c r="G841" s="27">
        <f>$H$836</f>
        <v>88</v>
      </c>
      <c r="H841" s="27">
        <f>$G841+$E841</f>
        <v>92</v>
      </c>
      <c r="I841" s="28">
        <f>WORKDAY(Settings!$D$13,INT($G841/HoursPerDay)+1,Holidays)</f>
        <v>46352</v>
      </c>
      <c r="J841" s="28">
        <f>IF($E841=0,$I841,WORKDAY(Settings!$D$13,ROUNDUP($H841/HoursPerDay,0),Holidays))</f>
        <v>46353</v>
      </c>
    </row>
    <row r="842" spans="1:10" x14ac:dyDescent="0.25">
      <c r="A842" s="25" t="s">
        <v>12</v>
      </c>
      <c r="B842" s="25" t="s">
        <v>216</v>
      </c>
      <c r="C842" s="25" t="s">
        <v>56</v>
      </c>
      <c r="D842" s="25" t="s">
        <v>51</v>
      </c>
      <c r="E842" s="26">
        <v>4</v>
      </c>
      <c r="F842" s="25" t="s">
        <v>57</v>
      </c>
      <c r="G842" s="27">
        <f>$H$837</f>
        <v>156</v>
      </c>
      <c r="H842" s="27">
        <f>$G842+$E842</f>
        <v>160</v>
      </c>
      <c r="I842" s="28">
        <f>WORKDAY(Settings!$D$13,INT($G842/HoursPerDay)+1,Holidays)</f>
        <v>46366</v>
      </c>
      <c r="J842" s="28">
        <f>IF($E842=0,$I842,WORKDAY(Settings!$D$13,ROUNDUP($H842/HoursPerDay,0),Holidays))</f>
        <v>46366</v>
      </c>
    </row>
    <row r="843" spans="1:10" x14ac:dyDescent="0.25">
      <c r="A843" s="25" t="s">
        <v>12</v>
      </c>
      <c r="B843" s="25" t="s">
        <v>479</v>
      </c>
      <c r="C843" s="25" t="s">
        <v>59</v>
      </c>
      <c r="D843" s="25" t="s">
        <v>51</v>
      </c>
      <c r="E843" s="26">
        <v>4</v>
      </c>
      <c r="F843" s="25" t="s">
        <v>60</v>
      </c>
      <c r="G843" s="27">
        <f>$H$838</f>
        <v>152</v>
      </c>
      <c r="H843" s="27">
        <f>$G843+$E843</f>
        <v>156</v>
      </c>
      <c r="I843" s="28">
        <f>WORKDAY(Settings!$D$13,INT($G843/HoursPerDay)+1,Holidays)</f>
        <v>46365</v>
      </c>
      <c r="J843" s="28">
        <f>IF($E843=0,$I843,WORKDAY(Settings!$D$13,ROUNDUP($H843/HoursPerDay,0),Holidays))</f>
        <v>46366</v>
      </c>
    </row>
    <row r="844" spans="1:10" x14ac:dyDescent="0.25">
      <c r="A844" s="22" t="s">
        <v>12</v>
      </c>
      <c r="B844" s="22" t="s">
        <v>217</v>
      </c>
      <c r="C844" s="22" t="s">
        <v>705</v>
      </c>
      <c r="D844" s="22" t="s">
        <v>48</v>
      </c>
      <c r="E844" s="23">
        <f>SUMIF($D845:$D848,"Task",$E845:$E848)</f>
        <v>14</v>
      </c>
      <c r="F844" s="22"/>
      <c r="G844" s="23"/>
      <c r="H844" s="23"/>
      <c r="I844" s="24">
        <f>MIN($I845:$I848)</f>
        <v>46353</v>
      </c>
      <c r="J844" s="24">
        <f>MAX($J845:$J848)</f>
        <v>46379</v>
      </c>
    </row>
    <row r="845" spans="1:10" x14ac:dyDescent="0.25">
      <c r="A845" s="25" t="s">
        <v>12</v>
      </c>
      <c r="B845" s="25" t="s">
        <v>219</v>
      </c>
      <c r="C845" s="25" t="s">
        <v>50</v>
      </c>
      <c r="D845" s="25" t="s">
        <v>51</v>
      </c>
      <c r="E845" s="26">
        <v>2</v>
      </c>
      <c r="F845" s="25" t="s">
        <v>78</v>
      </c>
      <c r="G845" s="27">
        <f>$H$840</f>
        <v>222</v>
      </c>
      <c r="H845" s="27">
        <f>$G845+$E845</f>
        <v>224</v>
      </c>
      <c r="I845" s="28">
        <f>WORKDAY(Settings!$D$13,INT($G845/HoursPerDay)+1,Holidays)</f>
        <v>46379</v>
      </c>
      <c r="J845" s="28">
        <f>IF($E845=0,$I845,WORKDAY(Settings!$D$13,ROUNDUP($H845/HoursPerDay,0),Holidays))</f>
        <v>46379</v>
      </c>
    </row>
    <row r="846" spans="1:10" x14ac:dyDescent="0.25">
      <c r="A846" s="25" t="s">
        <v>12</v>
      </c>
      <c r="B846" s="25" t="s">
        <v>220</v>
      </c>
      <c r="C846" s="25" t="s">
        <v>54</v>
      </c>
      <c r="D846" s="25" t="s">
        <v>51</v>
      </c>
      <c r="E846" s="26">
        <v>4</v>
      </c>
      <c r="F846" s="25" t="s">
        <v>52</v>
      </c>
      <c r="G846" s="27">
        <f>$H$841</f>
        <v>92</v>
      </c>
      <c r="H846" s="27">
        <f>$G846+$E846</f>
        <v>96</v>
      </c>
      <c r="I846" s="28">
        <f>WORKDAY(Settings!$D$13,INT($G846/HoursPerDay)+1,Holidays)</f>
        <v>46353</v>
      </c>
      <c r="J846" s="28">
        <f>IF($E846=0,$I846,WORKDAY(Settings!$D$13,ROUNDUP($H846/HoursPerDay,0),Holidays))</f>
        <v>46353</v>
      </c>
    </row>
    <row r="847" spans="1:10" x14ac:dyDescent="0.25">
      <c r="A847" s="25" t="s">
        <v>12</v>
      </c>
      <c r="B847" s="25" t="s">
        <v>221</v>
      </c>
      <c r="C847" s="25" t="s">
        <v>56</v>
      </c>
      <c r="D847" s="25" t="s">
        <v>51</v>
      </c>
      <c r="E847" s="26">
        <v>4</v>
      </c>
      <c r="F847" s="25" t="s">
        <v>57</v>
      </c>
      <c r="G847" s="27">
        <f>$H$842</f>
        <v>160</v>
      </c>
      <c r="H847" s="27">
        <f>$G847+$E847</f>
        <v>164</v>
      </c>
      <c r="I847" s="28">
        <f>WORKDAY(Settings!$D$13,INT($G847/HoursPerDay)+1,Holidays)</f>
        <v>46366</v>
      </c>
      <c r="J847" s="28">
        <f>IF($E847=0,$I847,WORKDAY(Settings!$D$13,ROUNDUP($H847/HoursPerDay,0),Holidays))</f>
        <v>46367</v>
      </c>
    </row>
    <row r="848" spans="1:10" x14ac:dyDescent="0.25">
      <c r="A848" s="25" t="s">
        <v>12</v>
      </c>
      <c r="B848" s="25" t="s">
        <v>706</v>
      </c>
      <c r="C848" s="25" t="s">
        <v>59</v>
      </c>
      <c r="D848" s="25" t="s">
        <v>51</v>
      </c>
      <c r="E848" s="26">
        <v>4</v>
      </c>
      <c r="F848" s="25" t="s">
        <v>60</v>
      </c>
      <c r="G848" s="27">
        <f>$H$843</f>
        <v>156</v>
      </c>
      <c r="H848" s="27">
        <f>$G848+$E848</f>
        <v>160</v>
      </c>
      <c r="I848" s="28">
        <f>WORKDAY(Settings!$D$13,INT($G848/HoursPerDay)+1,Holidays)</f>
        <v>46366</v>
      </c>
      <c r="J848" s="28">
        <f>IF($E848=0,$I848,WORKDAY(Settings!$D$13,ROUNDUP($H848/HoursPerDay,0),Holidays))</f>
        <v>46366</v>
      </c>
    </row>
    <row r="849" spans="1:10" x14ac:dyDescent="0.25">
      <c r="A849" s="22" t="s">
        <v>12</v>
      </c>
      <c r="B849" s="22" t="s">
        <v>222</v>
      </c>
      <c r="C849" s="22" t="s">
        <v>707</v>
      </c>
      <c r="D849" s="22" t="s">
        <v>48</v>
      </c>
      <c r="E849" s="23">
        <f>SUMIF($D850:$D853,"Task",$E850:$E853)</f>
        <v>21</v>
      </c>
      <c r="F849" s="22"/>
      <c r="G849" s="23"/>
      <c r="H849" s="23"/>
      <c r="I849" s="24">
        <f>MIN($I850:$I853)</f>
        <v>46353</v>
      </c>
      <c r="J849" s="24">
        <f>MAX($J850:$J853)</f>
        <v>46380</v>
      </c>
    </row>
    <row r="850" spans="1:10" x14ac:dyDescent="0.25">
      <c r="A850" s="25" t="s">
        <v>12</v>
      </c>
      <c r="B850" s="25" t="s">
        <v>224</v>
      </c>
      <c r="C850" s="25" t="s">
        <v>50</v>
      </c>
      <c r="D850" s="25" t="s">
        <v>51</v>
      </c>
      <c r="E850" s="26">
        <v>3</v>
      </c>
      <c r="F850" s="25" t="s">
        <v>78</v>
      </c>
      <c r="G850" s="27">
        <f>$H$845</f>
        <v>224</v>
      </c>
      <c r="H850" s="27">
        <f>$G850+$E850</f>
        <v>227</v>
      </c>
      <c r="I850" s="28">
        <f>WORKDAY(Settings!$D$13,INT($G850/HoursPerDay)+1,Holidays)</f>
        <v>46380</v>
      </c>
      <c r="J850" s="28">
        <f>IF($E850=0,$I850,WORKDAY(Settings!$D$13,ROUNDUP($H850/HoursPerDay,0),Holidays))</f>
        <v>46380</v>
      </c>
    </row>
    <row r="851" spans="1:10" x14ac:dyDescent="0.25">
      <c r="A851" s="25" t="s">
        <v>12</v>
      </c>
      <c r="B851" s="25" t="s">
        <v>225</v>
      </c>
      <c r="C851" s="25" t="s">
        <v>54</v>
      </c>
      <c r="D851" s="25" t="s">
        <v>51</v>
      </c>
      <c r="E851" s="26">
        <v>6</v>
      </c>
      <c r="F851" s="25" t="s">
        <v>52</v>
      </c>
      <c r="G851" s="27">
        <f>$H$846</f>
        <v>96</v>
      </c>
      <c r="H851" s="27">
        <f>$G851+$E851</f>
        <v>102</v>
      </c>
      <c r="I851" s="28">
        <f>WORKDAY(Settings!$D$13,INT($G851/HoursPerDay)+1,Holidays)</f>
        <v>46353</v>
      </c>
      <c r="J851" s="28">
        <f>IF($E851=0,$I851,WORKDAY(Settings!$D$13,ROUNDUP($H851/HoursPerDay,0),Holidays))</f>
        <v>46356</v>
      </c>
    </row>
    <row r="852" spans="1:10" x14ac:dyDescent="0.25">
      <c r="A852" s="25" t="s">
        <v>12</v>
      </c>
      <c r="B852" s="25" t="s">
        <v>226</v>
      </c>
      <c r="C852" s="25" t="s">
        <v>56</v>
      </c>
      <c r="D852" s="25" t="s">
        <v>51</v>
      </c>
      <c r="E852" s="26">
        <v>6</v>
      </c>
      <c r="F852" s="25" t="s">
        <v>57</v>
      </c>
      <c r="G852" s="27">
        <f>$H$847</f>
        <v>164</v>
      </c>
      <c r="H852" s="27">
        <f>$G852+$E852</f>
        <v>170</v>
      </c>
      <c r="I852" s="28">
        <f>WORKDAY(Settings!$D$13,INT($G852/HoursPerDay)+1,Holidays)</f>
        <v>46367</v>
      </c>
      <c r="J852" s="28">
        <f>IF($E852=0,$I852,WORKDAY(Settings!$D$13,ROUNDUP($H852/HoursPerDay,0),Holidays))</f>
        <v>46370</v>
      </c>
    </row>
    <row r="853" spans="1:10" x14ac:dyDescent="0.25">
      <c r="A853" s="25" t="s">
        <v>12</v>
      </c>
      <c r="B853" s="25" t="s">
        <v>708</v>
      </c>
      <c r="C853" s="25" t="s">
        <v>59</v>
      </c>
      <c r="D853" s="25" t="s">
        <v>51</v>
      </c>
      <c r="E853" s="26">
        <v>6</v>
      </c>
      <c r="F853" s="25" t="s">
        <v>60</v>
      </c>
      <c r="G853" s="27">
        <f>$H$848</f>
        <v>160</v>
      </c>
      <c r="H853" s="27">
        <f>$G853+$E853</f>
        <v>166</v>
      </c>
      <c r="I853" s="28">
        <f>WORKDAY(Settings!$D$13,INT($G853/HoursPerDay)+1,Holidays)</f>
        <v>46366</v>
      </c>
      <c r="J853" s="28">
        <f>IF($E853=0,$I853,WORKDAY(Settings!$D$13,ROUNDUP($H853/HoursPerDay,0),Holidays))</f>
        <v>46367</v>
      </c>
    </row>
    <row r="854" spans="1:10" x14ac:dyDescent="0.25">
      <c r="A854" s="22" t="s">
        <v>12</v>
      </c>
      <c r="B854" s="22" t="s">
        <v>366</v>
      </c>
      <c r="C854" s="22" t="s">
        <v>709</v>
      </c>
      <c r="D854" s="22" t="s">
        <v>48</v>
      </c>
      <c r="E854" s="23">
        <f>SUMIF($D855:$D858,"Task",$E855:$E858)</f>
        <v>21</v>
      </c>
      <c r="F854" s="22"/>
      <c r="G854" s="23"/>
      <c r="H854" s="23"/>
      <c r="I854" s="24">
        <f>MIN($I855:$I858)</f>
        <v>46356</v>
      </c>
      <c r="J854" s="24">
        <f>MAX($J855:$J858)</f>
        <v>46380</v>
      </c>
    </row>
    <row r="855" spans="1:10" x14ac:dyDescent="0.25">
      <c r="A855" s="25" t="s">
        <v>12</v>
      </c>
      <c r="B855" s="25" t="s">
        <v>368</v>
      </c>
      <c r="C855" s="25" t="s">
        <v>50</v>
      </c>
      <c r="D855" s="25" t="s">
        <v>51</v>
      </c>
      <c r="E855" s="26">
        <v>3</v>
      </c>
      <c r="F855" s="25" t="s">
        <v>78</v>
      </c>
      <c r="G855" s="27">
        <f>$H$850</f>
        <v>227</v>
      </c>
      <c r="H855" s="27">
        <f>$G855+$E855</f>
        <v>230</v>
      </c>
      <c r="I855" s="28">
        <f>WORKDAY(Settings!$D$13,INT($G855/HoursPerDay)+1,Holidays)</f>
        <v>46380</v>
      </c>
      <c r="J855" s="28">
        <f>IF($E855=0,$I855,WORKDAY(Settings!$D$13,ROUNDUP($H855/HoursPerDay,0),Holidays))</f>
        <v>46380</v>
      </c>
    </row>
    <row r="856" spans="1:10" x14ac:dyDescent="0.25">
      <c r="A856" s="25" t="s">
        <v>12</v>
      </c>
      <c r="B856" s="25" t="s">
        <v>369</v>
      </c>
      <c r="C856" s="25" t="s">
        <v>54</v>
      </c>
      <c r="D856" s="25" t="s">
        <v>51</v>
      </c>
      <c r="E856" s="26">
        <v>6</v>
      </c>
      <c r="F856" s="25" t="s">
        <v>52</v>
      </c>
      <c r="G856" s="27">
        <f>$H$851</f>
        <v>102</v>
      </c>
      <c r="H856" s="27">
        <f>$G856+$E856</f>
        <v>108</v>
      </c>
      <c r="I856" s="28">
        <f>WORKDAY(Settings!$D$13,INT($G856/HoursPerDay)+1,Holidays)</f>
        <v>46356</v>
      </c>
      <c r="J856" s="28">
        <f>IF($E856=0,$I856,WORKDAY(Settings!$D$13,ROUNDUP($H856/HoursPerDay,0),Holidays))</f>
        <v>46357</v>
      </c>
    </row>
    <row r="857" spans="1:10" x14ac:dyDescent="0.25">
      <c r="A857" s="25" t="s">
        <v>12</v>
      </c>
      <c r="B857" s="25" t="s">
        <v>370</v>
      </c>
      <c r="C857" s="25" t="s">
        <v>56</v>
      </c>
      <c r="D857" s="25" t="s">
        <v>51</v>
      </c>
      <c r="E857" s="26">
        <v>6</v>
      </c>
      <c r="F857" s="25" t="s">
        <v>57</v>
      </c>
      <c r="G857" s="27">
        <f>$H$852</f>
        <v>170</v>
      </c>
      <c r="H857" s="27">
        <f>$G857+$E857</f>
        <v>176</v>
      </c>
      <c r="I857" s="28">
        <f>WORKDAY(Settings!$D$13,INT($G857/HoursPerDay)+1,Holidays)</f>
        <v>46370</v>
      </c>
      <c r="J857" s="28">
        <f>IF($E857=0,$I857,WORKDAY(Settings!$D$13,ROUNDUP($H857/HoursPerDay,0),Holidays))</f>
        <v>46371</v>
      </c>
    </row>
    <row r="858" spans="1:10" x14ac:dyDescent="0.25">
      <c r="A858" s="25" t="s">
        <v>12</v>
      </c>
      <c r="B858" s="25" t="s">
        <v>481</v>
      </c>
      <c r="C858" s="25" t="s">
        <v>59</v>
      </c>
      <c r="D858" s="25" t="s">
        <v>51</v>
      </c>
      <c r="E858" s="26">
        <v>6</v>
      </c>
      <c r="F858" s="25" t="s">
        <v>60</v>
      </c>
      <c r="G858" s="27">
        <f>$H$853</f>
        <v>166</v>
      </c>
      <c r="H858" s="27">
        <f>$G858+$E858</f>
        <v>172</v>
      </c>
      <c r="I858" s="28">
        <f>WORKDAY(Settings!$D$13,INT($G858/HoursPerDay)+1,Holidays)</f>
        <v>46367</v>
      </c>
      <c r="J858" s="28">
        <f>IF($E858=0,$I858,WORKDAY(Settings!$D$13,ROUNDUP($H858/HoursPerDay,0),Holidays))</f>
        <v>46370</v>
      </c>
    </row>
    <row r="859" spans="1:10" x14ac:dyDescent="0.25">
      <c r="A859" s="22" t="s">
        <v>12</v>
      </c>
      <c r="B859" s="22" t="s">
        <v>482</v>
      </c>
      <c r="C859" s="22" t="s">
        <v>710</v>
      </c>
      <c r="D859" s="22" t="s">
        <v>48</v>
      </c>
      <c r="E859" s="23">
        <f>SUMIF($D860:$D863,"Task",$E860:$E863)</f>
        <v>14</v>
      </c>
      <c r="F859" s="22"/>
      <c r="G859" s="23"/>
      <c r="H859" s="23"/>
      <c r="I859" s="24">
        <f>MIN($I860:$I863)</f>
        <v>46357</v>
      </c>
      <c r="J859" s="24">
        <f>MAX($J860:$J863)</f>
        <v>46384</v>
      </c>
    </row>
    <row r="860" spans="1:10" x14ac:dyDescent="0.25">
      <c r="A860" s="25" t="s">
        <v>12</v>
      </c>
      <c r="B860" s="25" t="s">
        <v>711</v>
      </c>
      <c r="C860" s="25" t="s">
        <v>50</v>
      </c>
      <c r="D860" s="25" t="s">
        <v>51</v>
      </c>
      <c r="E860" s="26">
        <v>2</v>
      </c>
      <c r="F860" s="25" t="s">
        <v>78</v>
      </c>
      <c r="G860" s="27">
        <f>$H$855</f>
        <v>230</v>
      </c>
      <c r="H860" s="27">
        <f>$G860+$E860</f>
        <v>232</v>
      </c>
      <c r="I860" s="28">
        <f>WORKDAY(Settings!$D$13,INT($G860/HoursPerDay)+1,Holidays)</f>
        <v>46380</v>
      </c>
      <c r="J860" s="28">
        <f>IF($E860=0,$I860,WORKDAY(Settings!$D$13,ROUNDUP($H860/HoursPerDay,0),Holidays))</f>
        <v>46384</v>
      </c>
    </row>
    <row r="861" spans="1:10" x14ac:dyDescent="0.25">
      <c r="A861" s="25" t="s">
        <v>12</v>
      </c>
      <c r="B861" s="25" t="s">
        <v>484</v>
      </c>
      <c r="C861" s="25" t="s">
        <v>54</v>
      </c>
      <c r="D861" s="25" t="s">
        <v>51</v>
      </c>
      <c r="E861" s="26">
        <v>4</v>
      </c>
      <c r="F861" s="25" t="s">
        <v>52</v>
      </c>
      <c r="G861" s="27">
        <f>$H$856</f>
        <v>108</v>
      </c>
      <c r="H861" s="27">
        <f>$G861+$E861</f>
        <v>112</v>
      </c>
      <c r="I861" s="28">
        <f>WORKDAY(Settings!$D$13,INT($G861/HoursPerDay)+1,Holidays)</f>
        <v>46357</v>
      </c>
      <c r="J861" s="28">
        <f>IF($E861=0,$I861,WORKDAY(Settings!$D$13,ROUNDUP($H861/HoursPerDay,0),Holidays))</f>
        <v>46357</v>
      </c>
    </row>
    <row r="862" spans="1:10" x14ac:dyDescent="0.25">
      <c r="A862" s="25" t="s">
        <v>12</v>
      </c>
      <c r="B862" s="25" t="s">
        <v>485</v>
      </c>
      <c r="C862" s="25" t="s">
        <v>56</v>
      </c>
      <c r="D862" s="25" t="s">
        <v>51</v>
      </c>
      <c r="E862" s="26">
        <v>4</v>
      </c>
      <c r="F862" s="25" t="s">
        <v>57</v>
      </c>
      <c r="G862" s="27">
        <f>$H$857</f>
        <v>176</v>
      </c>
      <c r="H862" s="27">
        <f>$G862+$E862</f>
        <v>180</v>
      </c>
      <c r="I862" s="28">
        <f>WORKDAY(Settings!$D$13,INT($G862/HoursPerDay)+1,Holidays)</f>
        <v>46371</v>
      </c>
      <c r="J862" s="28">
        <f>IF($E862=0,$I862,WORKDAY(Settings!$D$13,ROUNDUP($H862/HoursPerDay,0),Holidays))</f>
        <v>46371</v>
      </c>
    </row>
    <row r="863" spans="1:10" x14ac:dyDescent="0.25">
      <c r="A863" s="25" t="s">
        <v>12</v>
      </c>
      <c r="B863" s="25" t="s">
        <v>486</v>
      </c>
      <c r="C863" s="25" t="s">
        <v>59</v>
      </c>
      <c r="D863" s="25" t="s">
        <v>51</v>
      </c>
      <c r="E863" s="26">
        <v>4</v>
      </c>
      <c r="F863" s="25" t="s">
        <v>60</v>
      </c>
      <c r="G863" s="27">
        <f>$H$858</f>
        <v>172</v>
      </c>
      <c r="H863" s="27">
        <f>$G863+$E863</f>
        <v>176</v>
      </c>
      <c r="I863" s="28">
        <f>WORKDAY(Settings!$D$13,INT($G863/HoursPerDay)+1,Holidays)</f>
        <v>46370</v>
      </c>
      <c r="J863" s="28">
        <f>IF($E863=0,$I863,WORKDAY(Settings!$D$13,ROUNDUP($H863/HoursPerDay,0),Holidays))</f>
        <v>46371</v>
      </c>
    </row>
    <row r="864" spans="1:10" x14ac:dyDescent="0.25">
      <c r="A864" s="22" t="s">
        <v>12</v>
      </c>
      <c r="B864" s="22" t="s">
        <v>487</v>
      </c>
      <c r="C864" s="22" t="s">
        <v>712</v>
      </c>
      <c r="D864" s="22" t="s">
        <v>48</v>
      </c>
      <c r="E864" s="23">
        <f>SUMIF($D865:$D867,"Task",$E865:$E867)</f>
        <v>12</v>
      </c>
      <c r="F864" s="22"/>
      <c r="G864" s="23"/>
      <c r="H864" s="23"/>
      <c r="I864" s="24">
        <f>MIN($I865:$I867)</f>
        <v>46358</v>
      </c>
      <c r="J864" s="24">
        <f>MAX($J865:$J867)</f>
        <v>46372</v>
      </c>
    </row>
    <row r="865" spans="1:10" x14ac:dyDescent="0.25">
      <c r="A865" s="25" t="s">
        <v>12</v>
      </c>
      <c r="B865" s="25" t="s">
        <v>713</v>
      </c>
      <c r="C865" s="25" t="s">
        <v>54</v>
      </c>
      <c r="D865" s="25" t="s">
        <v>51</v>
      </c>
      <c r="E865" s="26">
        <v>4</v>
      </c>
      <c r="F865" s="25" t="s">
        <v>52</v>
      </c>
      <c r="G865" s="27">
        <f>$H$861</f>
        <v>112</v>
      </c>
      <c r="H865" s="27">
        <f>$G865+$E865</f>
        <v>116</v>
      </c>
      <c r="I865" s="28">
        <f>WORKDAY(Settings!$D$13,INT($G865/HoursPerDay)+1,Holidays)</f>
        <v>46358</v>
      </c>
      <c r="J865" s="28">
        <f>IF($E865=0,$I865,WORKDAY(Settings!$D$13,ROUNDUP($H865/HoursPerDay,0),Holidays))</f>
        <v>46358</v>
      </c>
    </row>
    <row r="866" spans="1:10" x14ac:dyDescent="0.25">
      <c r="A866" s="25" t="s">
        <v>12</v>
      </c>
      <c r="B866" s="25" t="s">
        <v>489</v>
      </c>
      <c r="C866" s="25" t="s">
        <v>56</v>
      </c>
      <c r="D866" s="25" t="s">
        <v>51</v>
      </c>
      <c r="E866" s="26">
        <v>4</v>
      </c>
      <c r="F866" s="25" t="s">
        <v>57</v>
      </c>
      <c r="G866" s="27">
        <f>$H$862</f>
        <v>180</v>
      </c>
      <c r="H866" s="27">
        <f>$G866+$E866</f>
        <v>184</v>
      </c>
      <c r="I866" s="28">
        <f>WORKDAY(Settings!$D$13,INT($G866/HoursPerDay)+1,Holidays)</f>
        <v>46371</v>
      </c>
      <c r="J866" s="28">
        <f>IF($E866=0,$I866,WORKDAY(Settings!$D$13,ROUNDUP($H866/HoursPerDay,0),Holidays))</f>
        <v>46372</v>
      </c>
    </row>
    <row r="867" spans="1:10" x14ac:dyDescent="0.25">
      <c r="A867" s="25" t="s">
        <v>12</v>
      </c>
      <c r="B867" s="25" t="s">
        <v>490</v>
      </c>
      <c r="C867" s="25" t="s">
        <v>59</v>
      </c>
      <c r="D867" s="25" t="s">
        <v>51</v>
      </c>
      <c r="E867" s="26">
        <v>4</v>
      </c>
      <c r="F867" s="25" t="s">
        <v>60</v>
      </c>
      <c r="G867" s="27">
        <f>$H$863</f>
        <v>176</v>
      </c>
      <c r="H867" s="27">
        <f>$G867+$E867</f>
        <v>180</v>
      </c>
      <c r="I867" s="28">
        <f>WORKDAY(Settings!$D$13,INT($G867/HoursPerDay)+1,Holidays)</f>
        <v>46371</v>
      </c>
      <c r="J867" s="28">
        <f>IF($E867=0,$I867,WORKDAY(Settings!$D$13,ROUNDUP($H867/HoursPerDay,0),Holidays))</f>
        <v>46371</v>
      </c>
    </row>
    <row r="868" spans="1:10" x14ac:dyDescent="0.25">
      <c r="A868" s="22" t="s">
        <v>12</v>
      </c>
      <c r="B868" s="22" t="s">
        <v>492</v>
      </c>
      <c r="C868" s="22" t="s">
        <v>714</v>
      </c>
      <c r="D868" s="22" t="s">
        <v>48</v>
      </c>
      <c r="E868" s="23">
        <f>SUMIF($D869:$D871,"Task",$E869:$E871)</f>
        <v>12</v>
      </c>
      <c r="F868" s="22"/>
      <c r="G868" s="23"/>
      <c r="H868" s="23"/>
      <c r="I868" s="24">
        <f>MIN($I869:$I871)</f>
        <v>46358</v>
      </c>
      <c r="J868" s="24">
        <f>MAX($J869:$J871)</f>
        <v>46372</v>
      </c>
    </row>
    <row r="869" spans="1:10" x14ac:dyDescent="0.25">
      <c r="A869" s="25" t="s">
        <v>12</v>
      </c>
      <c r="B869" s="25" t="s">
        <v>715</v>
      </c>
      <c r="C869" s="25" t="s">
        <v>54</v>
      </c>
      <c r="D869" s="25" t="s">
        <v>51</v>
      </c>
      <c r="E869" s="26">
        <v>4</v>
      </c>
      <c r="F869" s="25" t="s">
        <v>52</v>
      </c>
      <c r="G869" s="27">
        <f>$H$865</f>
        <v>116</v>
      </c>
      <c r="H869" s="27">
        <f>$G869+$E869</f>
        <v>120</v>
      </c>
      <c r="I869" s="28">
        <f>WORKDAY(Settings!$D$13,INT($G869/HoursPerDay)+1,Holidays)</f>
        <v>46358</v>
      </c>
      <c r="J869" s="28">
        <f>IF($E869=0,$I869,WORKDAY(Settings!$D$13,ROUNDUP($H869/HoursPerDay,0),Holidays))</f>
        <v>46359</v>
      </c>
    </row>
    <row r="870" spans="1:10" x14ac:dyDescent="0.25">
      <c r="A870" s="25" t="s">
        <v>12</v>
      </c>
      <c r="B870" s="25" t="s">
        <v>494</v>
      </c>
      <c r="C870" s="25" t="s">
        <v>56</v>
      </c>
      <c r="D870" s="25" t="s">
        <v>51</v>
      </c>
      <c r="E870" s="26">
        <v>4</v>
      </c>
      <c r="F870" s="25" t="s">
        <v>57</v>
      </c>
      <c r="G870" s="27">
        <f>$H$866</f>
        <v>184</v>
      </c>
      <c r="H870" s="27">
        <f>$G870+$E870</f>
        <v>188</v>
      </c>
      <c r="I870" s="28">
        <f>WORKDAY(Settings!$D$13,INT($G870/HoursPerDay)+1,Holidays)</f>
        <v>46372</v>
      </c>
      <c r="J870" s="28">
        <f>IF($E870=0,$I870,WORKDAY(Settings!$D$13,ROUNDUP($H870/HoursPerDay,0),Holidays))</f>
        <v>46372</v>
      </c>
    </row>
    <row r="871" spans="1:10" x14ac:dyDescent="0.25">
      <c r="A871" s="25" t="s">
        <v>12</v>
      </c>
      <c r="B871" s="25" t="s">
        <v>495</v>
      </c>
      <c r="C871" s="25" t="s">
        <v>59</v>
      </c>
      <c r="D871" s="25" t="s">
        <v>51</v>
      </c>
      <c r="E871" s="26">
        <v>4</v>
      </c>
      <c r="F871" s="25" t="s">
        <v>60</v>
      </c>
      <c r="G871" s="27">
        <f>$H$867</f>
        <v>180</v>
      </c>
      <c r="H871" s="27">
        <f>$G871+$E871</f>
        <v>184</v>
      </c>
      <c r="I871" s="28">
        <f>WORKDAY(Settings!$D$13,INT($G871/HoursPerDay)+1,Holidays)</f>
        <v>46371</v>
      </c>
      <c r="J871" s="28">
        <f>IF($E871=0,$I871,WORKDAY(Settings!$D$13,ROUNDUP($H871/HoursPerDay,0),Holidays))</f>
        <v>46372</v>
      </c>
    </row>
    <row r="872" spans="1:10" x14ac:dyDescent="0.25">
      <c r="A872" s="19" t="s">
        <v>12</v>
      </c>
      <c r="B872" s="19" t="s">
        <v>227</v>
      </c>
      <c r="C872" s="19" t="s">
        <v>716</v>
      </c>
      <c r="D872" s="19" t="s">
        <v>45</v>
      </c>
      <c r="E872" s="20">
        <f>SUMIF($D873:$D901,"Task",$E873:$E901)</f>
        <v>82</v>
      </c>
      <c r="F872" s="19"/>
      <c r="G872" s="20"/>
      <c r="H872" s="20"/>
      <c r="I872" s="21">
        <f>MIN($I873:$I901)</f>
        <v>46359</v>
      </c>
      <c r="J872" s="21">
        <f>MAX($J873:$J901)</f>
        <v>46385</v>
      </c>
    </row>
    <row r="873" spans="1:10" x14ac:dyDescent="0.25">
      <c r="A873" s="22" t="s">
        <v>12</v>
      </c>
      <c r="B873" s="22" t="s">
        <v>229</v>
      </c>
      <c r="C873" s="22" t="s">
        <v>717</v>
      </c>
      <c r="D873" s="22" t="s">
        <v>48</v>
      </c>
      <c r="E873" s="23">
        <f>SUMIF($D874:$D877,"Task",$E874:$E877)</f>
        <v>14</v>
      </c>
      <c r="F873" s="22"/>
      <c r="G873" s="23"/>
      <c r="H873" s="23"/>
      <c r="I873" s="24">
        <f>MIN($I874:$I877)</f>
        <v>46359</v>
      </c>
      <c r="J873" s="24">
        <f>MAX($J874:$J877)</f>
        <v>46384</v>
      </c>
    </row>
    <row r="874" spans="1:10" x14ac:dyDescent="0.25">
      <c r="A874" s="25" t="s">
        <v>12</v>
      </c>
      <c r="B874" s="25" t="s">
        <v>231</v>
      </c>
      <c r="C874" s="25" t="s">
        <v>50</v>
      </c>
      <c r="D874" s="25" t="s">
        <v>51</v>
      </c>
      <c r="E874" s="26">
        <v>2</v>
      </c>
      <c r="F874" s="25" t="s">
        <v>78</v>
      </c>
      <c r="G874" s="27">
        <f>$H$860</f>
        <v>232</v>
      </c>
      <c r="H874" s="27">
        <f>$G874+$E874</f>
        <v>234</v>
      </c>
      <c r="I874" s="28">
        <f>WORKDAY(Settings!$D$13,INT($G874/HoursPerDay)+1,Holidays)</f>
        <v>46384</v>
      </c>
      <c r="J874" s="28">
        <f>IF($E874=0,$I874,WORKDAY(Settings!$D$13,ROUNDUP($H874/HoursPerDay,0),Holidays))</f>
        <v>46384</v>
      </c>
    </row>
    <row r="875" spans="1:10" x14ac:dyDescent="0.25">
      <c r="A875" s="25" t="s">
        <v>12</v>
      </c>
      <c r="B875" s="25" t="s">
        <v>232</v>
      </c>
      <c r="C875" s="25" t="s">
        <v>54</v>
      </c>
      <c r="D875" s="25" t="s">
        <v>51</v>
      </c>
      <c r="E875" s="26">
        <v>4</v>
      </c>
      <c r="F875" s="25" t="s">
        <v>52</v>
      </c>
      <c r="G875" s="27">
        <f>$H$869</f>
        <v>120</v>
      </c>
      <c r="H875" s="27">
        <f>$G875+$E875</f>
        <v>124</v>
      </c>
      <c r="I875" s="28">
        <f>WORKDAY(Settings!$D$13,INT($G875/HoursPerDay)+1,Holidays)</f>
        <v>46359</v>
      </c>
      <c r="J875" s="28">
        <f>IF($E875=0,$I875,WORKDAY(Settings!$D$13,ROUNDUP($H875/HoursPerDay,0),Holidays))</f>
        <v>46359</v>
      </c>
    </row>
    <row r="876" spans="1:10" x14ac:dyDescent="0.25">
      <c r="A876" s="25" t="s">
        <v>12</v>
      </c>
      <c r="B876" s="25" t="s">
        <v>233</v>
      </c>
      <c r="C876" s="25" t="s">
        <v>56</v>
      </c>
      <c r="D876" s="25" t="s">
        <v>51</v>
      </c>
      <c r="E876" s="26">
        <v>4</v>
      </c>
      <c r="F876" s="25" t="s">
        <v>57</v>
      </c>
      <c r="G876" s="27">
        <f>$H$870</f>
        <v>188</v>
      </c>
      <c r="H876" s="27">
        <f>$G876+$E876</f>
        <v>192</v>
      </c>
      <c r="I876" s="28">
        <f>WORKDAY(Settings!$D$13,INT($G876/HoursPerDay)+1,Holidays)</f>
        <v>46372</v>
      </c>
      <c r="J876" s="28">
        <f>IF($E876=0,$I876,WORKDAY(Settings!$D$13,ROUNDUP($H876/HoursPerDay,0),Holidays))</f>
        <v>46373</v>
      </c>
    </row>
    <row r="877" spans="1:10" x14ac:dyDescent="0.25">
      <c r="A877" s="25" t="s">
        <v>12</v>
      </c>
      <c r="B877" s="25" t="s">
        <v>373</v>
      </c>
      <c r="C877" s="25" t="s">
        <v>59</v>
      </c>
      <c r="D877" s="25" t="s">
        <v>51</v>
      </c>
      <c r="E877" s="26">
        <v>4</v>
      </c>
      <c r="F877" s="25" t="s">
        <v>60</v>
      </c>
      <c r="G877" s="27">
        <f>$H$871</f>
        <v>184</v>
      </c>
      <c r="H877" s="27">
        <f>$G877+$E877</f>
        <v>188</v>
      </c>
      <c r="I877" s="28">
        <f>WORKDAY(Settings!$D$13,INT($G877/HoursPerDay)+1,Holidays)</f>
        <v>46372</v>
      </c>
      <c r="J877" s="28">
        <f>IF($E877=0,$I877,WORKDAY(Settings!$D$13,ROUNDUP($H877/HoursPerDay,0),Holidays))</f>
        <v>46372</v>
      </c>
    </row>
    <row r="878" spans="1:10" x14ac:dyDescent="0.25">
      <c r="A878" s="22" t="s">
        <v>12</v>
      </c>
      <c r="B878" s="22" t="s">
        <v>234</v>
      </c>
      <c r="C878" s="22" t="s">
        <v>718</v>
      </c>
      <c r="D878" s="22" t="s">
        <v>48</v>
      </c>
      <c r="E878" s="23">
        <f>SUMIF($D879:$D882,"Task",$E879:$E882)</f>
        <v>14</v>
      </c>
      <c r="F878" s="22"/>
      <c r="G878" s="23"/>
      <c r="H878" s="23"/>
      <c r="I878" s="24">
        <f>MIN($I879:$I882)</f>
        <v>46359</v>
      </c>
      <c r="J878" s="24">
        <f>MAX($J879:$J882)</f>
        <v>46384</v>
      </c>
    </row>
    <row r="879" spans="1:10" x14ac:dyDescent="0.25">
      <c r="A879" s="25" t="s">
        <v>12</v>
      </c>
      <c r="B879" s="25" t="s">
        <v>236</v>
      </c>
      <c r="C879" s="25" t="s">
        <v>50</v>
      </c>
      <c r="D879" s="25" t="s">
        <v>51</v>
      </c>
      <c r="E879" s="26">
        <v>2</v>
      </c>
      <c r="F879" s="25" t="s">
        <v>78</v>
      </c>
      <c r="G879" s="27">
        <f>$H$874</f>
        <v>234</v>
      </c>
      <c r="H879" s="27">
        <f>$G879+$E879</f>
        <v>236</v>
      </c>
      <c r="I879" s="28">
        <f>WORKDAY(Settings!$D$13,INT($G879/HoursPerDay)+1,Holidays)</f>
        <v>46384</v>
      </c>
      <c r="J879" s="28">
        <f>IF($E879=0,$I879,WORKDAY(Settings!$D$13,ROUNDUP($H879/HoursPerDay,0),Holidays))</f>
        <v>46384</v>
      </c>
    </row>
    <row r="880" spans="1:10" x14ac:dyDescent="0.25">
      <c r="A880" s="25" t="s">
        <v>12</v>
      </c>
      <c r="B880" s="25" t="s">
        <v>237</v>
      </c>
      <c r="C880" s="25" t="s">
        <v>54</v>
      </c>
      <c r="D880" s="25" t="s">
        <v>51</v>
      </c>
      <c r="E880" s="26">
        <v>4</v>
      </c>
      <c r="F880" s="25" t="s">
        <v>52</v>
      </c>
      <c r="G880" s="27">
        <f>$H$875</f>
        <v>124</v>
      </c>
      <c r="H880" s="27">
        <f>$G880+$E880</f>
        <v>128</v>
      </c>
      <c r="I880" s="28">
        <f>WORKDAY(Settings!$D$13,INT($G880/HoursPerDay)+1,Holidays)</f>
        <v>46359</v>
      </c>
      <c r="J880" s="28">
        <f>IF($E880=0,$I880,WORKDAY(Settings!$D$13,ROUNDUP($H880/HoursPerDay,0),Holidays))</f>
        <v>46360</v>
      </c>
    </row>
    <row r="881" spans="1:10" x14ac:dyDescent="0.25">
      <c r="A881" s="25" t="s">
        <v>12</v>
      </c>
      <c r="B881" s="25" t="s">
        <v>238</v>
      </c>
      <c r="C881" s="25" t="s">
        <v>56</v>
      </c>
      <c r="D881" s="25" t="s">
        <v>51</v>
      </c>
      <c r="E881" s="26">
        <v>4</v>
      </c>
      <c r="F881" s="25" t="s">
        <v>57</v>
      </c>
      <c r="G881" s="27">
        <f>$H$876</f>
        <v>192</v>
      </c>
      <c r="H881" s="27">
        <f>$G881+$E881</f>
        <v>196</v>
      </c>
      <c r="I881" s="28">
        <f>WORKDAY(Settings!$D$13,INT($G881/HoursPerDay)+1,Holidays)</f>
        <v>46373</v>
      </c>
      <c r="J881" s="28">
        <f>IF($E881=0,$I881,WORKDAY(Settings!$D$13,ROUNDUP($H881/HoursPerDay,0),Holidays))</f>
        <v>46373</v>
      </c>
    </row>
    <row r="882" spans="1:10" x14ac:dyDescent="0.25">
      <c r="A882" s="25" t="s">
        <v>12</v>
      </c>
      <c r="B882" s="25" t="s">
        <v>719</v>
      </c>
      <c r="C882" s="25" t="s">
        <v>59</v>
      </c>
      <c r="D882" s="25" t="s">
        <v>51</v>
      </c>
      <c r="E882" s="26">
        <v>4</v>
      </c>
      <c r="F882" s="25" t="s">
        <v>60</v>
      </c>
      <c r="G882" s="27">
        <f>$H$877</f>
        <v>188</v>
      </c>
      <c r="H882" s="27">
        <f>$G882+$E882</f>
        <v>192</v>
      </c>
      <c r="I882" s="28">
        <f>WORKDAY(Settings!$D$13,INT($G882/HoursPerDay)+1,Holidays)</f>
        <v>46372</v>
      </c>
      <c r="J882" s="28">
        <f>IF($E882=0,$I882,WORKDAY(Settings!$D$13,ROUNDUP($H882/HoursPerDay,0),Holidays))</f>
        <v>46373</v>
      </c>
    </row>
    <row r="883" spans="1:10" x14ac:dyDescent="0.25">
      <c r="A883" s="22" t="s">
        <v>12</v>
      </c>
      <c r="B883" s="22" t="s">
        <v>239</v>
      </c>
      <c r="C883" s="22" t="s">
        <v>720</v>
      </c>
      <c r="D883" s="22" t="s">
        <v>48</v>
      </c>
      <c r="E883" s="23">
        <f>SUMIF($D884:$D887,"Task",$E884:$E887)</f>
        <v>14</v>
      </c>
      <c r="F883" s="22"/>
      <c r="G883" s="23"/>
      <c r="H883" s="23"/>
      <c r="I883" s="24">
        <f>MIN($I884:$I887)</f>
        <v>46360</v>
      </c>
      <c r="J883" s="24">
        <f>MAX($J884:$J887)</f>
        <v>46384</v>
      </c>
    </row>
    <row r="884" spans="1:10" x14ac:dyDescent="0.25">
      <c r="A884" s="25" t="s">
        <v>12</v>
      </c>
      <c r="B884" s="25" t="s">
        <v>241</v>
      </c>
      <c r="C884" s="25" t="s">
        <v>50</v>
      </c>
      <c r="D884" s="25" t="s">
        <v>51</v>
      </c>
      <c r="E884" s="26">
        <v>2</v>
      </c>
      <c r="F884" s="25" t="s">
        <v>78</v>
      </c>
      <c r="G884" s="27">
        <f>$H$879</f>
        <v>236</v>
      </c>
      <c r="H884" s="27">
        <f>$G884+$E884</f>
        <v>238</v>
      </c>
      <c r="I884" s="28">
        <f>WORKDAY(Settings!$D$13,INT($G884/HoursPerDay)+1,Holidays)</f>
        <v>46384</v>
      </c>
      <c r="J884" s="28">
        <f>IF($E884=0,$I884,WORKDAY(Settings!$D$13,ROUNDUP($H884/HoursPerDay,0),Holidays))</f>
        <v>46384</v>
      </c>
    </row>
    <row r="885" spans="1:10" x14ac:dyDescent="0.25">
      <c r="A885" s="25" t="s">
        <v>12</v>
      </c>
      <c r="B885" s="25" t="s">
        <v>242</v>
      </c>
      <c r="C885" s="25" t="s">
        <v>54</v>
      </c>
      <c r="D885" s="25" t="s">
        <v>51</v>
      </c>
      <c r="E885" s="26">
        <v>4</v>
      </c>
      <c r="F885" s="25" t="s">
        <v>52</v>
      </c>
      <c r="G885" s="27">
        <f>$H$880</f>
        <v>128</v>
      </c>
      <c r="H885" s="27">
        <f>$G885+$E885</f>
        <v>132</v>
      </c>
      <c r="I885" s="28">
        <f>WORKDAY(Settings!$D$13,INT($G885/HoursPerDay)+1,Holidays)</f>
        <v>46360</v>
      </c>
      <c r="J885" s="28">
        <f>IF($E885=0,$I885,WORKDAY(Settings!$D$13,ROUNDUP($H885/HoursPerDay,0),Holidays))</f>
        <v>46360</v>
      </c>
    </row>
    <row r="886" spans="1:10" x14ac:dyDescent="0.25">
      <c r="A886" s="25" t="s">
        <v>12</v>
      </c>
      <c r="B886" s="25" t="s">
        <v>243</v>
      </c>
      <c r="C886" s="25" t="s">
        <v>56</v>
      </c>
      <c r="D886" s="25" t="s">
        <v>51</v>
      </c>
      <c r="E886" s="26">
        <v>4</v>
      </c>
      <c r="F886" s="25" t="s">
        <v>57</v>
      </c>
      <c r="G886" s="27">
        <f>$H$881</f>
        <v>196</v>
      </c>
      <c r="H886" s="27">
        <f>$G886+$E886</f>
        <v>200</v>
      </c>
      <c r="I886" s="28">
        <f>WORKDAY(Settings!$D$13,INT($G886/HoursPerDay)+1,Holidays)</f>
        <v>46374</v>
      </c>
      <c r="J886" s="28">
        <f>IF($E886=0,$I886,WORKDAY(Settings!$D$13,ROUNDUP($H886/HoursPerDay,0),Holidays))</f>
        <v>46374</v>
      </c>
    </row>
    <row r="887" spans="1:10" x14ac:dyDescent="0.25">
      <c r="A887" s="25" t="s">
        <v>12</v>
      </c>
      <c r="B887" s="25" t="s">
        <v>721</v>
      </c>
      <c r="C887" s="25" t="s">
        <v>59</v>
      </c>
      <c r="D887" s="25" t="s">
        <v>51</v>
      </c>
      <c r="E887" s="26">
        <v>4</v>
      </c>
      <c r="F887" s="25" t="s">
        <v>60</v>
      </c>
      <c r="G887" s="27">
        <f>$H$882</f>
        <v>192</v>
      </c>
      <c r="H887" s="27">
        <f>$G887+$E887</f>
        <v>196</v>
      </c>
      <c r="I887" s="28">
        <f>WORKDAY(Settings!$D$13,INT($G887/HoursPerDay)+1,Holidays)</f>
        <v>46373</v>
      </c>
      <c r="J887" s="28">
        <f>IF($E887=0,$I887,WORKDAY(Settings!$D$13,ROUNDUP($H887/HoursPerDay,0),Holidays))</f>
        <v>46373</v>
      </c>
    </row>
    <row r="888" spans="1:10" x14ac:dyDescent="0.25">
      <c r="A888" s="22" t="s">
        <v>12</v>
      </c>
      <c r="B888" s="22" t="s">
        <v>244</v>
      </c>
      <c r="C888" s="22" t="s">
        <v>722</v>
      </c>
      <c r="D888" s="22" t="s">
        <v>48</v>
      </c>
      <c r="E888" s="23">
        <f>SUMIF($D889:$D892,"Task",$E889:$E892)</f>
        <v>14</v>
      </c>
      <c r="F888" s="22"/>
      <c r="G888" s="23"/>
      <c r="H888" s="23"/>
      <c r="I888" s="24">
        <f>MIN($I889:$I892)</f>
        <v>46360</v>
      </c>
      <c r="J888" s="24">
        <f>MAX($J889:$J892)</f>
        <v>46385</v>
      </c>
    </row>
    <row r="889" spans="1:10" x14ac:dyDescent="0.25">
      <c r="A889" s="25" t="s">
        <v>12</v>
      </c>
      <c r="B889" s="25" t="s">
        <v>246</v>
      </c>
      <c r="C889" s="25" t="s">
        <v>50</v>
      </c>
      <c r="D889" s="25" t="s">
        <v>51</v>
      </c>
      <c r="E889" s="26">
        <v>2</v>
      </c>
      <c r="F889" s="25" t="s">
        <v>78</v>
      </c>
      <c r="G889" s="27">
        <f>$H$884</f>
        <v>238</v>
      </c>
      <c r="H889" s="27">
        <f>$G889+$E889</f>
        <v>240</v>
      </c>
      <c r="I889" s="28">
        <f>WORKDAY(Settings!$D$13,INT($G889/HoursPerDay)+1,Holidays)</f>
        <v>46385</v>
      </c>
      <c r="J889" s="28">
        <f>IF($E889=0,$I889,WORKDAY(Settings!$D$13,ROUNDUP($H889/HoursPerDay,0),Holidays))</f>
        <v>46385</v>
      </c>
    </row>
    <row r="890" spans="1:10" x14ac:dyDescent="0.25">
      <c r="A890" s="25" t="s">
        <v>12</v>
      </c>
      <c r="B890" s="25" t="s">
        <v>247</v>
      </c>
      <c r="C890" s="25" t="s">
        <v>54</v>
      </c>
      <c r="D890" s="25" t="s">
        <v>51</v>
      </c>
      <c r="E890" s="26">
        <v>4</v>
      </c>
      <c r="F890" s="25" t="s">
        <v>52</v>
      </c>
      <c r="G890" s="27">
        <f>$H$885</f>
        <v>132</v>
      </c>
      <c r="H890" s="27">
        <f>$G890+$E890</f>
        <v>136</v>
      </c>
      <c r="I890" s="28">
        <f>WORKDAY(Settings!$D$13,INT($G890/HoursPerDay)+1,Holidays)</f>
        <v>46360</v>
      </c>
      <c r="J890" s="28">
        <f>IF($E890=0,$I890,WORKDAY(Settings!$D$13,ROUNDUP($H890/HoursPerDay,0),Holidays))</f>
        <v>46363</v>
      </c>
    </row>
    <row r="891" spans="1:10" x14ac:dyDescent="0.25">
      <c r="A891" s="25" t="s">
        <v>12</v>
      </c>
      <c r="B891" s="25" t="s">
        <v>248</v>
      </c>
      <c r="C891" s="25" t="s">
        <v>56</v>
      </c>
      <c r="D891" s="25" t="s">
        <v>51</v>
      </c>
      <c r="E891" s="26">
        <v>4</v>
      </c>
      <c r="F891" s="25" t="s">
        <v>57</v>
      </c>
      <c r="G891" s="27">
        <f>$H$886</f>
        <v>200</v>
      </c>
      <c r="H891" s="27">
        <f>$G891+$E891</f>
        <v>204</v>
      </c>
      <c r="I891" s="28">
        <f>WORKDAY(Settings!$D$13,INT($G891/HoursPerDay)+1,Holidays)</f>
        <v>46374</v>
      </c>
      <c r="J891" s="28">
        <f>IF($E891=0,$I891,WORKDAY(Settings!$D$13,ROUNDUP($H891/HoursPerDay,0),Holidays))</f>
        <v>46377</v>
      </c>
    </row>
    <row r="892" spans="1:10" x14ac:dyDescent="0.25">
      <c r="A892" s="25" t="s">
        <v>12</v>
      </c>
      <c r="B892" s="25" t="s">
        <v>723</v>
      </c>
      <c r="C892" s="25" t="s">
        <v>59</v>
      </c>
      <c r="D892" s="25" t="s">
        <v>51</v>
      </c>
      <c r="E892" s="26">
        <v>4</v>
      </c>
      <c r="F892" s="25" t="s">
        <v>60</v>
      </c>
      <c r="G892" s="27">
        <f>$H$887</f>
        <v>196</v>
      </c>
      <c r="H892" s="27">
        <f>$G892+$E892</f>
        <v>200</v>
      </c>
      <c r="I892" s="28">
        <f>WORKDAY(Settings!$D$13,INT($G892/HoursPerDay)+1,Holidays)</f>
        <v>46374</v>
      </c>
      <c r="J892" s="28">
        <f>IF($E892=0,$I892,WORKDAY(Settings!$D$13,ROUNDUP($H892/HoursPerDay,0),Holidays))</f>
        <v>46374</v>
      </c>
    </row>
    <row r="893" spans="1:10" x14ac:dyDescent="0.25">
      <c r="A893" s="22" t="s">
        <v>12</v>
      </c>
      <c r="B893" s="22" t="s">
        <v>724</v>
      </c>
      <c r="C893" s="22" t="s">
        <v>725</v>
      </c>
      <c r="D893" s="22" t="s">
        <v>48</v>
      </c>
      <c r="E893" s="23">
        <f>SUMIF($D894:$D896,"Task",$E894:$E896)</f>
        <v>12</v>
      </c>
      <c r="F893" s="22"/>
      <c r="G893" s="23"/>
      <c r="H893" s="23"/>
      <c r="I893" s="24">
        <f>MIN($I894:$I896)</f>
        <v>46363</v>
      </c>
      <c r="J893" s="24">
        <f>MAX($J894:$J896)</f>
        <v>46377</v>
      </c>
    </row>
    <row r="894" spans="1:10" x14ac:dyDescent="0.25">
      <c r="A894" s="25" t="s">
        <v>12</v>
      </c>
      <c r="B894" s="25" t="s">
        <v>726</v>
      </c>
      <c r="C894" s="25" t="s">
        <v>54</v>
      </c>
      <c r="D894" s="25" t="s">
        <v>51</v>
      </c>
      <c r="E894" s="26">
        <v>4</v>
      </c>
      <c r="F894" s="25" t="s">
        <v>52</v>
      </c>
      <c r="G894" s="27">
        <f>$H$890</f>
        <v>136</v>
      </c>
      <c r="H894" s="27">
        <f>$G894+$E894</f>
        <v>140</v>
      </c>
      <c r="I894" s="28">
        <f>WORKDAY(Settings!$D$13,INT($G894/HoursPerDay)+1,Holidays)</f>
        <v>46363</v>
      </c>
      <c r="J894" s="28">
        <f>IF($E894=0,$I894,WORKDAY(Settings!$D$13,ROUNDUP($H894/HoursPerDay,0),Holidays))</f>
        <v>46363</v>
      </c>
    </row>
    <row r="895" spans="1:10" x14ac:dyDescent="0.25">
      <c r="A895" s="25" t="s">
        <v>12</v>
      </c>
      <c r="B895" s="25" t="s">
        <v>727</v>
      </c>
      <c r="C895" s="25" t="s">
        <v>56</v>
      </c>
      <c r="D895" s="25" t="s">
        <v>51</v>
      </c>
      <c r="E895" s="26">
        <v>4</v>
      </c>
      <c r="F895" s="25" t="s">
        <v>57</v>
      </c>
      <c r="G895" s="27">
        <f>$H$891</f>
        <v>204</v>
      </c>
      <c r="H895" s="27">
        <f>$G895+$E895</f>
        <v>208</v>
      </c>
      <c r="I895" s="28">
        <f>WORKDAY(Settings!$D$13,INT($G895/HoursPerDay)+1,Holidays)</f>
        <v>46377</v>
      </c>
      <c r="J895" s="28">
        <f>IF($E895=0,$I895,WORKDAY(Settings!$D$13,ROUNDUP($H895/HoursPerDay,0),Holidays))</f>
        <v>46377</v>
      </c>
    </row>
    <row r="896" spans="1:10" x14ac:dyDescent="0.25">
      <c r="A896" s="25" t="s">
        <v>12</v>
      </c>
      <c r="B896" s="25" t="s">
        <v>728</v>
      </c>
      <c r="C896" s="25" t="s">
        <v>59</v>
      </c>
      <c r="D896" s="25" t="s">
        <v>51</v>
      </c>
      <c r="E896" s="26">
        <v>4</v>
      </c>
      <c r="F896" s="25" t="s">
        <v>60</v>
      </c>
      <c r="G896" s="27">
        <f>$H$892</f>
        <v>200</v>
      </c>
      <c r="H896" s="27">
        <f>$G896+$E896</f>
        <v>204</v>
      </c>
      <c r="I896" s="28">
        <f>WORKDAY(Settings!$D$13,INT($G896/HoursPerDay)+1,Holidays)</f>
        <v>46374</v>
      </c>
      <c r="J896" s="28">
        <f>IF($E896=0,$I896,WORKDAY(Settings!$D$13,ROUNDUP($H896/HoursPerDay,0),Holidays))</f>
        <v>46377</v>
      </c>
    </row>
    <row r="897" spans="1:10" x14ac:dyDescent="0.25">
      <c r="A897" s="22" t="s">
        <v>12</v>
      </c>
      <c r="B897" s="22" t="s">
        <v>729</v>
      </c>
      <c r="C897" s="22" t="s">
        <v>730</v>
      </c>
      <c r="D897" s="22" t="s">
        <v>48</v>
      </c>
      <c r="E897" s="23">
        <f>SUMIF($D898:$D901,"Task",$E898:$E901)</f>
        <v>14</v>
      </c>
      <c r="F897" s="22"/>
      <c r="G897" s="23"/>
      <c r="H897" s="23"/>
      <c r="I897" s="24">
        <f>MIN($I898:$I901)</f>
        <v>46364</v>
      </c>
      <c r="J897" s="24">
        <f>MAX($J898:$J901)</f>
        <v>46385</v>
      </c>
    </row>
    <row r="898" spans="1:10" x14ac:dyDescent="0.25">
      <c r="A898" s="25" t="s">
        <v>12</v>
      </c>
      <c r="B898" s="25" t="s">
        <v>731</v>
      </c>
      <c r="C898" s="25" t="s">
        <v>50</v>
      </c>
      <c r="D898" s="25" t="s">
        <v>51</v>
      </c>
      <c r="E898" s="26">
        <v>2</v>
      </c>
      <c r="F898" s="25" t="s">
        <v>78</v>
      </c>
      <c r="G898" s="27">
        <f>$H$889</f>
        <v>240</v>
      </c>
      <c r="H898" s="27">
        <f>$G898+$E898</f>
        <v>242</v>
      </c>
      <c r="I898" s="28">
        <f>WORKDAY(Settings!$D$13,INT($G898/HoursPerDay)+1,Holidays)</f>
        <v>46385</v>
      </c>
      <c r="J898" s="28">
        <f>IF($E898=0,$I898,WORKDAY(Settings!$D$13,ROUNDUP($H898/HoursPerDay,0),Holidays))</f>
        <v>46385</v>
      </c>
    </row>
    <row r="899" spans="1:10" x14ac:dyDescent="0.25">
      <c r="A899" s="25" t="s">
        <v>12</v>
      </c>
      <c r="B899" s="25" t="s">
        <v>732</v>
      </c>
      <c r="C899" s="25" t="s">
        <v>54</v>
      </c>
      <c r="D899" s="25" t="s">
        <v>51</v>
      </c>
      <c r="E899" s="26">
        <v>4</v>
      </c>
      <c r="F899" s="25" t="s">
        <v>52</v>
      </c>
      <c r="G899" s="27">
        <f>$H$894</f>
        <v>140</v>
      </c>
      <c r="H899" s="27">
        <f>$G899+$E899</f>
        <v>144</v>
      </c>
      <c r="I899" s="28">
        <f>WORKDAY(Settings!$D$13,INT($G899/HoursPerDay)+1,Holidays)</f>
        <v>46364</v>
      </c>
      <c r="J899" s="28">
        <f>IF($E899=0,$I899,WORKDAY(Settings!$D$13,ROUNDUP($H899/HoursPerDay,0),Holidays))</f>
        <v>46364</v>
      </c>
    </row>
    <row r="900" spans="1:10" x14ac:dyDescent="0.25">
      <c r="A900" s="25" t="s">
        <v>12</v>
      </c>
      <c r="B900" s="25" t="s">
        <v>733</v>
      </c>
      <c r="C900" s="25" t="s">
        <v>56</v>
      </c>
      <c r="D900" s="25" t="s">
        <v>51</v>
      </c>
      <c r="E900" s="26">
        <v>4</v>
      </c>
      <c r="F900" s="25" t="s">
        <v>57</v>
      </c>
      <c r="G900" s="27">
        <f>$H$895</f>
        <v>208</v>
      </c>
      <c r="H900" s="27">
        <f>$G900+$E900</f>
        <v>212</v>
      </c>
      <c r="I900" s="28">
        <f>WORKDAY(Settings!$D$13,INT($G900/HoursPerDay)+1,Holidays)</f>
        <v>46377</v>
      </c>
      <c r="J900" s="28">
        <f>IF($E900=0,$I900,WORKDAY(Settings!$D$13,ROUNDUP($H900/HoursPerDay,0),Holidays))</f>
        <v>46378</v>
      </c>
    </row>
    <row r="901" spans="1:10" x14ac:dyDescent="0.25">
      <c r="A901" s="25" t="s">
        <v>12</v>
      </c>
      <c r="B901" s="25" t="s">
        <v>734</v>
      </c>
      <c r="C901" s="25" t="s">
        <v>59</v>
      </c>
      <c r="D901" s="25" t="s">
        <v>51</v>
      </c>
      <c r="E901" s="26">
        <v>4</v>
      </c>
      <c r="F901" s="25" t="s">
        <v>60</v>
      </c>
      <c r="G901" s="27">
        <f>$H$896</f>
        <v>204</v>
      </c>
      <c r="H901" s="27">
        <f>$G901+$E901</f>
        <v>208</v>
      </c>
      <c r="I901" s="28">
        <f>WORKDAY(Settings!$D$13,INT($G901/HoursPerDay)+1,Holidays)</f>
        <v>46377</v>
      </c>
      <c r="J901" s="28">
        <f>IF($E901=0,$I901,WORKDAY(Settings!$D$13,ROUNDUP($H901/HoursPerDay,0),Holidays))</f>
        <v>46377</v>
      </c>
    </row>
    <row r="902" spans="1:10" x14ac:dyDescent="0.25">
      <c r="A902" s="19" t="s">
        <v>12</v>
      </c>
      <c r="B902" s="19" t="s">
        <v>249</v>
      </c>
      <c r="C902" s="19" t="s">
        <v>735</v>
      </c>
      <c r="D902" s="19" t="s">
        <v>45</v>
      </c>
      <c r="E902" s="20">
        <f>SUMIF($D903:$D944,"Task",$E903:$E944)</f>
        <v>124</v>
      </c>
      <c r="F902" s="19"/>
      <c r="G902" s="20"/>
      <c r="H902" s="20"/>
      <c r="I902" s="21">
        <f>MIN($I903:$I944)</f>
        <v>46364</v>
      </c>
      <c r="J902" s="21">
        <f>MAX($J903:$J944)</f>
        <v>46386</v>
      </c>
    </row>
    <row r="903" spans="1:10" x14ac:dyDescent="0.25">
      <c r="A903" s="22" t="s">
        <v>12</v>
      </c>
      <c r="B903" s="22" t="s">
        <v>251</v>
      </c>
      <c r="C903" s="22" t="s">
        <v>736</v>
      </c>
      <c r="D903" s="22" t="s">
        <v>48</v>
      </c>
      <c r="E903" s="23">
        <f>SUMIF($D904:$D906,"Task",$E904:$E906)</f>
        <v>12</v>
      </c>
      <c r="F903" s="22"/>
      <c r="G903" s="23"/>
      <c r="H903" s="23"/>
      <c r="I903" s="24">
        <f>MIN($I904:$I906)</f>
        <v>46364</v>
      </c>
      <c r="J903" s="24">
        <f>MAX($J904:$J906)</f>
        <v>46378</v>
      </c>
    </row>
    <row r="904" spans="1:10" x14ac:dyDescent="0.25">
      <c r="A904" s="25" t="s">
        <v>12</v>
      </c>
      <c r="B904" s="25" t="s">
        <v>253</v>
      </c>
      <c r="C904" s="25" t="s">
        <v>54</v>
      </c>
      <c r="D904" s="25" t="s">
        <v>51</v>
      </c>
      <c r="E904" s="26">
        <v>4</v>
      </c>
      <c r="F904" s="25" t="s">
        <v>52</v>
      </c>
      <c r="G904" s="27">
        <f>$H$899</f>
        <v>144</v>
      </c>
      <c r="H904" s="27">
        <f>$G904+$E904</f>
        <v>148</v>
      </c>
      <c r="I904" s="28">
        <f>WORKDAY(Settings!$D$13,INT($G904/HoursPerDay)+1,Holidays)</f>
        <v>46364</v>
      </c>
      <c r="J904" s="28">
        <f>IF($E904=0,$I904,WORKDAY(Settings!$D$13,ROUNDUP($H904/HoursPerDay,0),Holidays))</f>
        <v>46365</v>
      </c>
    </row>
    <row r="905" spans="1:10" x14ac:dyDescent="0.25">
      <c r="A905" s="25" t="s">
        <v>12</v>
      </c>
      <c r="B905" s="25" t="s">
        <v>254</v>
      </c>
      <c r="C905" s="25" t="s">
        <v>56</v>
      </c>
      <c r="D905" s="25" t="s">
        <v>51</v>
      </c>
      <c r="E905" s="26">
        <v>4</v>
      </c>
      <c r="F905" s="25" t="s">
        <v>57</v>
      </c>
      <c r="G905" s="27">
        <f>$H$900</f>
        <v>212</v>
      </c>
      <c r="H905" s="27">
        <f>$G905+$E905</f>
        <v>216</v>
      </c>
      <c r="I905" s="28">
        <f>WORKDAY(Settings!$D$13,INT($G905/HoursPerDay)+1,Holidays)</f>
        <v>46378</v>
      </c>
      <c r="J905" s="28">
        <f>IF($E905=0,$I905,WORKDAY(Settings!$D$13,ROUNDUP($H905/HoursPerDay,0),Holidays))</f>
        <v>46378</v>
      </c>
    </row>
    <row r="906" spans="1:10" x14ac:dyDescent="0.25">
      <c r="A906" s="25" t="s">
        <v>12</v>
      </c>
      <c r="B906" s="25" t="s">
        <v>255</v>
      </c>
      <c r="C906" s="25" t="s">
        <v>59</v>
      </c>
      <c r="D906" s="25" t="s">
        <v>51</v>
      </c>
      <c r="E906" s="26">
        <v>4</v>
      </c>
      <c r="F906" s="25" t="s">
        <v>60</v>
      </c>
      <c r="G906" s="27">
        <f>$H$901</f>
        <v>208</v>
      </c>
      <c r="H906" s="27">
        <f>$G906+$E906</f>
        <v>212</v>
      </c>
      <c r="I906" s="28">
        <f>WORKDAY(Settings!$D$13,INT($G906/HoursPerDay)+1,Holidays)</f>
        <v>46377</v>
      </c>
      <c r="J906" s="28">
        <f>IF($E906=0,$I906,WORKDAY(Settings!$D$13,ROUNDUP($H906/HoursPerDay,0),Holidays))</f>
        <v>46378</v>
      </c>
    </row>
    <row r="907" spans="1:10" x14ac:dyDescent="0.25">
      <c r="A907" s="22" t="s">
        <v>12</v>
      </c>
      <c r="B907" s="22" t="s">
        <v>256</v>
      </c>
      <c r="C907" s="22" t="s">
        <v>737</v>
      </c>
      <c r="D907" s="22" t="s">
        <v>48</v>
      </c>
      <c r="E907" s="23">
        <f>SUMIF($D908:$D910,"Task",$E908:$E910)</f>
        <v>12</v>
      </c>
      <c r="F907" s="22"/>
      <c r="G907" s="23"/>
      <c r="H907" s="23"/>
      <c r="I907" s="24">
        <f>MIN($I908:$I910)</f>
        <v>46365</v>
      </c>
      <c r="J907" s="24">
        <f>MAX($J908:$J910)</f>
        <v>46379</v>
      </c>
    </row>
    <row r="908" spans="1:10" x14ac:dyDescent="0.25">
      <c r="A908" s="25" t="s">
        <v>12</v>
      </c>
      <c r="B908" s="25" t="s">
        <v>258</v>
      </c>
      <c r="C908" s="25" t="s">
        <v>54</v>
      </c>
      <c r="D908" s="25" t="s">
        <v>51</v>
      </c>
      <c r="E908" s="26">
        <v>4</v>
      </c>
      <c r="F908" s="25" t="s">
        <v>52</v>
      </c>
      <c r="G908" s="27">
        <f>$H$904</f>
        <v>148</v>
      </c>
      <c r="H908" s="27">
        <f>$G908+$E908</f>
        <v>152</v>
      </c>
      <c r="I908" s="28">
        <f>WORKDAY(Settings!$D$13,INT($G908/HoursPerDay)+1,Holidays)</f>
        <v>46365</v>
      </c>
      <c r="J908" s="28">
        <f>IF($E908=0,$I908,WORKDAY(Settings!$D$13,ROUNDUP($H908/HoursPerDay,0),Holidays))</f>
        <v>46365</v>
      </c>
    </row>
    <row r="909" spans="1:10" x14ac:dyDescent="0.25">
      <c r="A909" s="25" t="s">
        <v>12</v>
      </c>
      <c r="B909" s="25" t="s">
        <v>259</v>
      </c>
      <c r="C909" s="25" t="s">
        <v>56</v>
      </c>
      <c r="D909" s="25" t="s">
        <v>51</v>
      </c>
      <c r="E909" s="26">
        <v>4</v>
      </c>
      <c r="F909" s="25" t="s">
        <v>57</v>
      </c>
      <c r="G909" s="27">
        <f>$H$905</f>
        <v>216</v>
      </c>
      <c r="H909" s="27">
        <f>$G909+$E909</f>
        <v>220</v>
      </c>
      <c r="I909" s="28">
        <f>WORKDAY(Settings!$D$13,INT($G909/HoursPerDay)+1,Holidays)</f>
        <v>46378</v>
      </c>
      <c r="J909" s="28">
        <f>IF($E909=0,$I909,WORKDAY(Settings!$D$13,ROUNDUP($H909/HoursPerDay,0),Holidays))</f>
        <v>46379</v>
      </c>
    </row>
    <row r="910" spans="1:10" x14ac:dyDescent="0.25">
      <c r="A910" s="25" t="s">
        <v>12</v>
      </c>
      <c r="B910" s="25" t="s">
        <v>260</v>
      </c>
      <c r="C910" s="25" t="s">
        <v>59</v>
      </c>
      <c r="D910" s="25" t="s">
        <v>51</v>
      </c>
      <c r="E910" s="26">
        <v>4</v>
      </c>
      <c r="F910" s="25" t="s">
        <v>60</v>
      </c>
      <c r="G910" s="27">
        <f>$H$906</f>
        <v>212</v>
      </c>
      <c r="H910" s="27">
        <f>$G910+$E910</f>
        <v>216</v>
      </c>
      <c r="I910" s="28">
        <f>WORKDAY(Settings!$D$13,INT($G910/HoursPerDay)+1,Holidays)</f>
        <v>46378</v>
      </c>
      <c r="J910" s="28">
        <f>IF($E910=0,$I910,WORKDAY(Settings!$D$13,ROUNDUP($H910/HoursPerDay,0),Holidays))</f>
        <v>46378</v>
      </c>
    </row>
    <row r="911" spans="1:10" x14ac:dyDescent="0.25">
      <c r="A911" s="22" t="s">
        <v>12</v>
      </c>
      <c r="B911" s="22" t="s">
        <v>261</v>
      </c>
      <c r="C911" s="22" t="s">
        <v>738</v>
      </c>
      <c r="D911" s="22" t="s">
        <v>48</v>
      </c>
      <c r="E911" s="23">
        <f>SUMIF($D912:$D914,"Task",$E912:$E914)</f>
        <v>12</v>
      </c>
      <c r="F911" s="22"/>
      <c r="G911" s="23"/>
      <c r="H911" s="23"/>
      <c r="I911" s="24">
        <f>MIN($I912:$I914)</f>
        <v>46365</v>
      </c>
      <c r="J911" s="24">
        <f>MAX($J912:$J914)</f>
        <v>46379</v>
      </c>
    </row>
    <row r="912" spans="1:10" x14ac:dyDescent="0.25">
      <c r="A912" s="25" t="s">
        <v>12</v>
      </c>
      <c r="B912" s="25" t="s">
        <v>263</v>
      </c>
      <c r="C912" s="25" t="s">
        <v>54</v>
      </c>
      <c r="D912" s="25" t="s">
        <v>51</v>
      </c>
      <c r="E912" s="26">
        <v>4</v>
      </c>
      <c r="F912" s="25" t="s">
        <v>52</v>
      </c>
      <c r="G912" s="27">
        <f>$H$908</f>
        <v>152</v>
      </c>
      <c r="H912" s="27">
        <f>$G912+$E912</f>
        <v>156</v>
      </c>
      <c r="I912" s="28">
        <f>WORKDAY(Settings!$D$13,INT($G912/HoursPerDay)+1,Holidays)</f>
        <v>46365</v>
      </c>
      <c r="J912" s="28">
        <f>IF($E912=0,$I912,WORKDAY(Settings!$D$13,ROUNDUP($H912/HoursPerDay,0),Holidays))</f>
        <v>46366</v>
      </c>
    </row>
    <row r="913" spans="1:10" x14ac:dyDescent="0.25">
      <c r="A913" s="25" t="s">
        <v>12</v>
      </c>
      <c r="B913" s="25" t="s">
        <v>264</v>
      </c>
      <c r="C913" s="25" t="s">
        <v>56</v>
      </c>
      <c r="D913" s="25" t="s">
        <v>51</v>
      </c>
      <c r="E913" s="26">
        <v>4</v>
      </c>
      <c r="F913" s="25" t="s">
        <v>57</v>
      </c>
      <c r="G913" s="27">
        <f>$H$909</f>
        <v>220</v>
      </c>
      <c r="H913" s="27">
        <f>$G913+$E913</f>
        <v>224</v>
      </c>
      <c r="I913" s="28">
        <f>WORKDAY(Settings!$D$13,INT($G913/HoursPerDay)+1,Holidays)</f>
        <v>46379</v>
      </c>
      <c r="J913" s="28">
        <f>IF($E913=0,$I913,WORKDAY(Settings!$D$13,ROUNDUP($H913/HoursPerDay,0),Holidays))</f>
        <v>46379</v>
      </c>
    </row>
    <row r="914" spans="1:10" x14ac:dyDescent="0.25">
      <c r="A914" s="25" t="s">
        <v>12</v>
      </c>
      <c r="B914" s="25" t="s">
        <v>265</v>
      </c>
      <c r="C914" s="25" t="s">
        <v>59</v>
      </c>
      <c r="D914" s="25" t="s">
        <v>51</v>
      </c>
      <c r="E914" s="26">
        <v>4</v>
      </c>
      <c r="F914" s="25" t="s">
        <v>60</v>
      </c>
      <c r="G914" s="27">
        <f>$H$910</f>
        <v>216</v>
      </c>
      <c r="H914" s="27">
        <f>$G914+$E914</f>
        <v>220</v>
      </c>
      <c r="I914" s="28">
        <f>WORKDAY(Settings!$D$13,INT($G914/HoursPerDay)+1,Holidays)</f>
        <v>46378</v>
      </c>
      <c r="J914" s="28">
        <f>IF($E914=0,$I914,WORKDAY(Settings!$D$13,ROUNDUP($H914/HoursPerDay,0),Holidays))</f>
        <v>46379</v>
      </c>
    </row>
    <row r="915" spans="1:10" x14ac:dyDescent="0.25">
      <c r="A915" s="22" t="s">
        <v>12</v>
      </c>
      <c r="B915" s="22" t="s">
        <v>381</v>
      </c>
      <c r="C915" s="22" t="s">
        <v>739</v>
      </c>
      <c r="D915" s="22" t="s">
        <v>48</v>
      </c>
      <c r="E915" s="23">
        <f>SUMIF($D916:$D918,"Task",$E916:$E918)</f>
        <v>12</v>
      </c>
      <c r="F915" s="22"/>
      <c r="G915" s="23"/>
      <c r="H915" s="23"/>
      <c r="I915" s="24">
        <f>MIN($I916:$I918)</f>
        <v>46366</v>
      </c>
      <c r="J915" s="24">
        <f>MAX($J916:$J918)</f>
        <v>46380</v>
      </c>
    </row>
    <row r="916" spans="1:10" x14ac:dyDescent="0.25">
      <c r="A916" s="25" t="s">
        <v>12</v>
      </c>
      <c r="B916" s="25" t="s">
        <v>383</v>
      </c>
      <c r="C916" s="25" t="s">
        <v>54</v>
      </c>
      <c r="D916" s="25" t="s">
        <v>51</v>
      </c>
      <c r="E916" s="26">
        <v>4</v>
      </c>
      <c r="F916" s="25" t="s">
        <v>52</v>
      </c>
      <c r="G916" s="27">
        <f>$H$912</f>
        <v>156</v>
      </c>
      <c r="H916" s="27">
        <f>$G916+$E916</f>
        <v>160</v>
      </c>
      <c r="I916" s="28">
        <f>WORKDAY(Settings!$D$13,INT($G916/HoursPerDay)+1,Holidays)</f>
        <v>46366</v>
      </c>
      <c r="J916" s="28">
        <f>IF($E916=0,$I916,WORKDAY(Settings!$D$13,ROUNDUP($H916/HoursPerDay,0),Holidays))</f>
        <v>46366</v>
      </c>
    </row>
    <row r="917" spans="1:10" x14ac:dyDescent="0.25">
      <c r="A917" s="25" t="s">
        <v>12</v>
      </c>
      <c r="B917" s="25" t="s">
        <v>384</v>
      </c>
      <c r="C917" s="25" t="s">
        <v>56</v>
      </c>
      <c r="D917" s="25" t="s">
        <v>51</v>
      </c>
      <c r="E917" s="26">
        <v>4</v>
      </c>
      <c r="F917" s="25" t="s">
        <v>57</v>
      </c>
      <c r="G917" s="27">
        <f>$H$913</f>
        <v>224</v>
      </c>
      <c r="H917" s="27">
        <f>$G917+$E917</f>
        <v>228</v>
      </c>
      <c r="I917" s="28">
        <f>WORKDAY(Settings!$D$13,INT($G917/HoursPerDay)+1,Holidays)</f>
        <v>46380</v>
      </c>
      <c r="J917" s="28">
        <f>IF($E917=0,$I917,WORKDAY(Settings!$D$13,ROUNDUP($H917/HoursPerDay,0),Holidays))</f>
        <v>46380</v>
      </c>
    </row>
    <row r="918" spans="1:10" x14ac:dyDescent="0.25">
      <c r="A918" s="25" t="s">
        <v>12</v>
      </c>
      <c r="B918" s="25" t="s">
        <v>530</v>
      </c>
      <c r="C918" s="25" t="s">
        <v>59</v>
      </c>
      <c r="D918" s="25" t="s">
        <v>51</v>
      </c>
      <c r="E918" s="26">
        <v>4</v>
      </c>
      <c r="F918" s="25" t="s">
        <v>60</v>
      </c>
      <c r="G918" s="27">
        <f>$H$914</f>
        <v>220</v>
      </c>
      <c r="H918" s="27">
        <f>$G918+$E918</f>
        <v>224</v>
      </c>
      <c r="I918" s="28">
        <f>WORKDAY(Settings!$D$13,INT($G918/HoursPerDay)+1,Holidays)</f>
        <v>46379</v>
      </c>
      <c r="J918" s="28">
        <f>IF($E918=0,$I918,WORKDAY(Settings!$D$13,ROUNDUP($H918/HoursPerDay,0),Holidays))</f>
        <v>46379</v>
      </c>
    </row>
    <row r="919" spans="1:10" x14ac:dyDescent="0.25">
      <c r="A919" s="22" t="s">
        <v>12</v>
      </c>
      <c r="B919" s="22" t="s">
        <v>385</v>
      </c>
      <c r="C919" s="22" t="s">
        <v>740</v>
      </c>
      <c r="D919" s="22" t="s">
        <v>48</v>
      </c>
      <c r="E919" s="23">
        <f>SUMIF($D920:$D922,"Task",$E920:$E922)</f>
        <v>12</v>
      </c>
      <c r="F919" s="22"/>
      <c r="G919" s="23"/>
      <c r="H919" s="23"/>
      <c r="I919" s="24">
        <f>MIN($I920:$I922)</f>
        <v>46366</v>
      </c>
      <c r="J919" s="24">
        <f>MAX($J920:$J922)</f>
        <v>46384</v>
      </c>
    </row>
    <row r="920" spans="1:10" x14ac:dyDescent="0.25">
      <c r="A920" s="25" t="s">
        <v>12</v>
      </c>
      <c r="B920" s="25" t="s">
        <v>387</v>
      </c>
      <c r="C920" s="25" t="s">
        <v>54</v>
      </c>
      <c r="D920" s="25" t="s">
        <v>51</v>
      </c>
      <c r="E920" s="26">
        <v>4</v>
      </c>
      <c r="F920" s="25" t="s">
        <v>52</v>
      </c>
      <c r="G920" s="27">
        <f>$H$916</f>
        <v>160</v>
      </c>
      <c r="H920" s="27">
        <f>$G920+$E920</f>
        <v>164</v>
      </c>
      <c r="I920" s="28">
        <f>WORKDAY(Settings!$D$13,INT($G920/HoursPerDay)+1,Holidays)</f>
        <v>46366</v>
      </c>
      <c r="J920" s="28">
        <f>IF($E920=0,$I920,WORKDAY(Settings!$D$13,ROUNDUP($H920/HoursPerDay,0),Holidays))</f>
        <v>46367</v>
      </c>
    </row>
    <row r="921" spans="1:10" x14ac:dyDescent="0.25">
      <c r="A921" s="25" t="s">
        <v>12</v>
      </c>
      <c r="B921" s="25" t="s">
        <v>388</v>
      </c>
      <c r="C921" s="25" t="s">
        <v>56</v>
      </c>
      <c r="D921" s="25" t="s">
        <v>51</v>
      </c>
      <c r="E921" s="26">
        <v>4</v>
      </c>
      <c r="F921" s="25" t="s">
        <v>57</v>
      </c>
      <c r="G921" s="27">
        <f>$H$917</f>
        <v>228</v>
      </c>
      <c r="H921" s="27">
        <f>$G921+$E921</f>
        <v>232</v>
      </c>
      <c r="I921" s="28">
        <f>WORKDAY(Settings!$D$13,INT($G921/HoursPerDay)+1,Holidays)</f>
        <v>46380</v>
      </c>
      <c r="J921" s="28">
        <f>IF($E921=0,$I921,WORKDAY(Settings!$D$13,ROUNDUP($H921/HoursPerDay,0),Holidays))</f>
        <v>46384</v>
      </c>
    </row>
    <row r="922" spans="1:10" x14ac:dyDescent="0.25">
      <c r="A922" s="25" t="s">
        <v>12</v>
      </c>
      <c r="B922" s="25" t="s">
        <v>533</v>
      </c>
      <c r="C922" s="25" t="s">
        <v>59</v>
      </c>
      <c r="D922" s="25" t="s">
        <v>51</v>
      </c>
      <c r="E922" s="26">
        <v>4</v>
      </c>
      <c r="F922" s="25" t="s">
        <v>60</v>
      </c>
      <c r="G922" s="27">
        <f>$H$918</f>
        <v>224</v>
      </c>
      <c r="H922" s="27">
        <f>$G922+$E922</f>
        <v>228</v>
      </c>
      <c r="I922" s="28">
        <f>WORKDAY(Settings!$D$13,INT($G922/HoursPerDay)+1,Holidays)</f>
        <v>46380</v>
      </c>
      <c r="J922" s="28">
        <f>IF($E922=0,$I922,WORKDAY(Settings!$D$13,ROUNDUP($H922/HoursPerDay,0),Holidays))</f>
        <v>46380</v>
      </c>
    </row>
    <row r="923" spans="1:10" x14ac:dyDescent="0.25">
      <c r="A923" s="22" t="s">
        <v>12</v>
      </c>
      <c r="B923" s="22" t="s">
        <v>389</v>
      </c>
      <c r="C923" s="22" t="s">
        <v>741</v>
      </c>
      <c r="D923" s="22" t="s">
        <v>48</v>
      </c>
      <c r="E923" s="23">
        <f>SUMIF($D924:$D926,"Task",$E924:$E926)</f>
        <v>12</v>
      </c>
      <c r="F923" s="22"/>
      <c r="G923" s="23"/>
      <c r="H923" s="23"/>
      <c r="I923" s="24">
        <f>MIN($I924:$I926)</f>
        <v>46367</v>
      </c>
      <c r="J923" s="24">
        <f>MAX($J924:$J926)</f>
        <v>46384</v>
      </c>
    </row>
    <row r="924" spans="1:10" x14ac:dyDescent="0.25">
      <c r="A924" s="25" t="s">
        <v>12</v>
      </c>
      <c r="B924" s="25" t="s">
        <v>391</v>
      </c>
      <c r="C924" s="25" t="s">
        <v>54</v>
      </c>
      <c r="D924" s="25" t="s">
        <v>51</v>
      </c>
      <c r="E924" s="26">
        <v>4</v>
      </c>
      <c r="F924" s="25" t="s">
        <v>52</v>
      </c>
      <c r="G924" s="27">
        <f>$H$920</f>
        <v>164</v>
      </c>
      <c r="H924" s="27">
        <f>$G924+$E924</f>
        <v>168</v>
      </c>
      <c r="I924" s="28">
        <f>WORKDAY(Settings!$D$13,INT($G924/HoursPerDay)+1,Holidays)</f>
        <v>46367</v>
      </c>
      <c r="J924" s="28">
        <f>IF($E924=0,$I924,WORKDAY(Settings!$D$13,ROUNDUP($H924/HoursPerDay,0),Holidays))</f>
        <v>46367</v>
      </c>
    </row>
    <row r="925" spans="1:10" x14ac:dyDescent="0.25">
      <c r="A925" s="25" t="s">
        <v>12</v>
      </c>
      <c r="B925" s="25" t="s">
        <v>392</v>
      </c>
      <c r="C925" s="25" t="s">
        <v>56</v>
      </c>
      <c r="D925" s="25" t="s">
        <v>51</v>
      </c>
      <c r="E925" s="26">
        <v>4</v>
      </c>
      <c r="F925" s="25" t="s">
        <v>57</v>
      </c>
      <c r="G925" s="27">
        <f>$H$921</f>
        <v>232</v>
      </c>
      <c r="H925" s="27">
        <f>$G925+$E925</f>
        <v>236</v>
      </c>
      <c r="I925" s="28">
        <f>WORKDAY(Settings!$D$13,INT($G925/HoursPerDay)+1,Holidays)</f>
        <v>46384</v>
      </c>
      <c r="J925" s="28">
        <f>IF($E925=0,$I925,WORKDAY(Settings!$D$13,ROUNDUP($H925/HoursPerDay,0),Holidays))</f>
        <v>46384</v>
      </c>
    </row>
    <row r="926" spans="1:10" x14ac:dyDescent="0.25">
      <c r="A926" s="25" t="s">
        <v>12</v>
      </c>
      <c r="B926" s="25" t="s">
        <v>742</v>
      </c>
      <c r="C926" s="25" t="s">
        <v>59</v>
      </c>
      <c r="D926" s="25" t="s">
        <v>51</v>
      </c>
      <c r="E926" s="26">
        <v>4</v>
      </c>
      <c r="F926" s="25" t="s">
        <v>60</v>
      </c>
      <c r="G926" s="27">
        <f>$H$922</f>
        <v>228</v>
      </c>
      <c r="H926" s="27">
        <f>$G926+$E926</f>
        <v>232</v>
      </c>
      <c r="I926" s="28">
        <f>WORKDAY(Settings!$D$13,INT($G926/HoursPerDay)+1,Holidays)</f>
        <v>46380</v>
      </c>
      <c r="J926" s="28">
        <f>IF($E926=0,$I926,WORKDAY(Settings!$D$13,ROUNDUP($H926/HoursPerDay,0),Holidays))</f>
        <v>46384</v>
      </c>
    </row>
    <row r="927" spans="1:10" x14ac:dyDescent="0.25">
      <c r="A927" s="22" t="s">
        <v>12</v>
      </c>
      <c r="B927" s="22" t="s">
        <v>743</v>
      </c>
      <c r="C927" s="22" t="s">
        <v>744</v>
      </c>
      <c r="D927" s="22" t="s">
        <v>48</v>
      </c>
      <c r="E927" s="23">
        <f>SUMIF($D928:$D930,"Task",$E928:$E930)</f>
        <v>12</v>
      </c>
      <c r="F927" s="22"/>
      <c r="G927" s="23"/>
      <c r="H927" s="23"/>
      <c r="I927" s="24">
        <f>MIN($I928:$I930)</f>
        <v>46370</v>
      </c>
      <c r="J927" s="24">
        <f>MAX($J928:$J930)</f>
        <v>46385</v>
      </c>
    </row>
    <row r="928" spans="1:10" x14ac:dyDescent="0.25">
      <c r="A928" s="25" t="s">
        <v>12</v>
      </c>
      <c r="B928" s="25" t="s">
        <v>745</v>
      </c>
      <c r="C928" s="25" t="s">
        <v>54</v>
      </c>
      <c r="D928" s="25" t="s">
        <v>51</v>
      </c>
      <c r="E928" s="26">
        <v>4</v>
      </c>
      <c r="F928" s="25" t="s">
        <v>52</v>
      </c>
      <c r="G928" s="27">
        <f>$H$924</f>
        <v>168</v>
      </c>
      <c r="H928" s="27">
        <f>$G928+$E928</f>
        <v>172</v>
      </c>
      <c r="I928" s="28">
        <f>WORKDAY(Settings!$D$13,INT($G928/HoursPerDay)+1,Holidays)</f>
        <v>46370</v>
      </c>
      <c r="J928" s="28">
        <f>IF($E928=0,$I928,WORKDAY(Settings!$D$13,ROUNDUP($H928/HoursPerDay,0),Holidays))</f>
        <v>46370</v>
      </c>
    </row>
    <row r="929" spans="1:10" x14ac:dyDescent="0.25">
      <c r="A929" s="25" t="s">
        <v>12</v>
      </c>
      <c r="B929" s="25" t="s">
        <v>746</v>
      </c>
      <c r="C929" s="25" t="s">
        <v>56</v>
      </c>
      <c r="D929" s="25" t="s">
        <v>51</v>
      </c>
      <c r="E929" s="26">
        <v>4</v>
      </c>
      <c r="F929" s="25" t="s">
        <v>57</v>
      </c>
      <c r="G929" s="27">
        <f>$H$925</f>
        <v>236</v>
      </c>
      <c r="H929" s="27">
        <f>$G929+$E929</f>
        <v>240</v>
      </c>
      <c r="I929" s="28">
        <f>WORKDAY(Settings!$D$13,INT($G929/HoursPerDay)+1,Holidays)</f>
        <v>46384</v>
      </c>
      <c r="J929" s="28">
        <f>IF($E929=0,$I929,WORKDAY(Settings!$D$13,ROUNDUP($H929/HoursPerDay,0),Holidays))</f>
        <v>46385</v>
      </c>
    </row>
    <row r="930" spans="1:10" x14ac:dyDescent="0.25">
      <c r="A930" s="25" t="s">
        <v>12</v>
      </c>
      <c r="B930" s="25" t="s">
        <v>747</v>
      </c>
      <c r="C930" s="25" t="s">
        <v>59</v>
      </c>
      <c r="D930" s="25" t="s">
        <v>51</v>
      </c>
      <c r="E930" s="26">
        <v>4</v>
      </c>
      <c r="F930" s="25" t="s">
        <v>60</v>
      </c>
      <c r="G930" s="27">
        <f>$H$926</f>
        <v>232</v>
      </c>
      <c r="H930" s="27">
        <f>$G930+$E930</f>
        <v>236</v>
      </c>
      <c r="I930" s="28">
        <f>WORKDAY(Settings!$D$13,INT($G930/HoursPerDay)+1,Holidays)</f>
        <v>46384</v>
      </c>
      <c r="J930" s="28">
        <f>IF($E930=0,$I930,WORKDAY(Settings!$D$13,ROUNDUP($H930/HoursPerDay,0),Holidays))</f>
        <v>46384</v>
      </c>
    </row>
    <row r="931" spans="1:10" x14ac:dyDescent="0.25">
      <c r="A931" s="22" t="s">
        <v>12</v>
      </c>
      <c r="B931" s="22" t="s">
        <v>748</v>
      </c>
      <c r="C931" s="22" t="s">
        <v>749</v>
      </c>
      <c r="D931" s="22" t="s">
        <v>48</v>
      </c>
      <c r="E931" s="23">
        <f>SUMIF($D932:$D935,"Task",$E932:$E935)</f>
        <v>14</v>
      </c>
      <c r="F931" s="22"/>
      <c r="G931" s="23"/>
      <c r="H931" s="23"/>
      <c r="I931" s="24">
        <f>MIN($I932:$I935)</f>
        <v>46370</v>
      </c>
      <c r="J931" s="24">
        <f>MAX($J932:$J935)</f>
        <v>46385</v>
      </c>
    </row>
    <row r="932" spans="1:10" x14ac:dyDescent="0.25">
      <c r="A932" s="25" t="s">
        <v>12</v>
      </c>
      <c r="B932" s="25" t="s">
        <v>750</v>
      </c>
      <c r="C932" s="25" t="s">
        <v>50</v>
      </c>
      <c r="D932" s="25" t="s">
        <v>51</v>
      </c>
      <c r="E932" s="26">
        <v>2</v>
      </c>
      <c r="F932" s="25" t="s">
        <v>78</v>
      </c>
      <c r="G932" s="27">
        <f>$H$898</f>
        <v>242</v>
      </c>
      <c r="H932" s="27">
        <f>$G932+$E932</f>
        <v>244</v>
      </c>
      <c r="I932" s="28">
        <f>WORKDAY(Settings!$D$13,INT($G932/HoursPerDay)+1,Holidays)</f>
        <v>46385</v>
      </c>
      <c r="J932" s="28">
        <f>IF($E932=0,$I932,WORKDAY(Settings!$D$13,ROUNDUP($H932/HoursPerDay,0),Holidays))</f>
        <v>46385</v>
      </c>
    </row>
    <row r="933" spans="1:10" x14ac:dyDescent="0.25">
      <c r="A933" s="25" t="s">
        <v>12</v>
      </c>
      <c r="B933" s="25" t="s">
        <v>751</v>
      </c>
      <c r="C933" s="25" t="s">
        <v>54</v>
      </c>
      <c r="D933" s="25" t="s">
        <v>51</v>
      </c>
      <c r="E933" s="26">
        <v>4</v>
      </c>
      <c r="F933" s="25" t="s">
        <v>52</v>
      </c>
      <c r="G933" s="27">
        <f>$H$928</f>
        <v>172</v>
      </c>
      <c r="H933" s="27">
        <f>$G933+$E933</f>
        <v>176</v>
      </c>
      <c r="I933" s="28">
        <f>WORKDAY(Settings!$D$13,INT($G933/HoursPerDay)+1,Holidays)</f>
        <v>46370</v>
      </c>
      <c r="J933" s="28">
        <f>IF($E933=0,$I933,WORKDAY(Settings!$D$13,ROUNDUP($H933/HoursPerDay,0),Holidays))</f>
        <v>46371</v>
      </c>
    </row>
    <row r="934" spans="1:10" x14ac:dyDescent="0.25">
      <c r="A934" s="25" t="s">
        <v>12</v>
      </c>
      <c r="B934" s="25" t="s">
        <v>752</v>
      </c>
      <c r="C934" s="25" t="s">
        <v>56</v>
      </c>
      <c r="D934" s="25" t="s">
        <v>51</v>
      </c>
      <c r="E934" s="26">
        <v>4</v>
      </c>
      <c r="F934" s="25" t="s">
        <v>57</v>
      </c>
      <c r="G934" s="27">
        <f>$H$929</f>
        <v>240</v>
      </c>
      <c r="H934" s="27">
        <f>$G934+$E934</f>
        <v>244</v>
      </c>
      <c r="I934" s="28">
        <f>WORKDAY(Settings!$D$13,INT($G934/HoursPerDay)+1,Holidays)</f>
        <v>46385</v>
      </c>
      <c r="J934" s="28">
        <f>IF($E934=0,$I934,WORKDAY(Settings!$D$13,ROUNDUP($H934/HoursPerDay,0),Holidays))</f>
        <v>46385</v>
      </c>
    </row>
    <row r="935" spans="1:10" x14ac:dyDescent="0.25">
      <c r="A935" s="25" t="s">
        <v>12</v>
      </c>
      <c r="B935" s="25" t="s">
        <v>753</v>
      </c>
      <c r="C935" s="25" t="s">
        <v>59</v>
      </c>
      <c r="D935" s="25" t="s">
        <v>51</v>
      </c>
      <c r="E935" s="26">
        <v>4</v>
      </c>
      <c r="F935" s="25" t="s">
        <v>60</v>
      </c>
      <c r="G935" s="27">
        <f>$H$930</f>
        <v>236</v>
      </c>
      <c r="H935" s="27">
        <f>$G935+$E935</f>
        <v>240</v>
      </c>
      <c r="I935" s="28">
        <f>WORKDAY(Settings!$D$13,INT($G935/HoursPerDay)+1,Holidays)</f>
        <v>46384</v>
      </c>
      <c r="J935" s="28">
        <f>IF($E935=0,$I935,WORKDAY(Settings!$D$13,ROUNDUP($H935/HoursPerDay,0),Holidays))</f>
        <v>46385</v>
      </c>
    </row>
    <row r="936" spans="1:10" x14ac:dyDescent="0.25">
      <c r="A936" s="22" t="s">
        <v>12</v>
      </c>
      <c r="B936" s="22" t="s">
        <v>754</v>
      </c>
      <c r="C936" s="22" t="s">
        <v>755</v>
      </c>
      <c r="D936" s="22" t="s">
        <v>48</v>
      </c>
      <c r="E936" s="23">
        <f>SUMIF($D937:$D939,"Task",$E937:$E939)</f>
        <v>12</v>
      </c>
      <c r="F936" s="22"/>
      <c r="G936" s="23"/>
      <c r="H936" s="23"/>
      <c r="I936" s="24">
        <f>MIN($I937:$I939)</f>
        <v>46371</v>
      </c>
      <c r="J936" s="24">
        <f>MAX($J937:$J939)</f>
        <v>46386</v>
      </c>
    </row>
    <row r="937" spans="1:10" x14ac:dyDescent="0.25">
      <c r="A937" s="25" t="s">
        <v>12</v>
      </c>
      <c r="B937" s="25" t="s">
        <v>756</v>
      </c>
      <c r="C937" s="25" t="s">
        <v>54</v>
      </c>
      <c r="D937" s="25" t="s">
        <v>51</v>
      </c>
      <c r="E937" s="26">
        <v>4</v>
      </c>
      <c r="F937" s="25" t="s">
        <v>52</v>
      </c>
      <c r="G937" s="27">
        <f>$H$933</f>
        <v>176</v>
      </c>
      <c r="H937" s="27">
        <f>$G937+$E937</f>
        <v>180</v>
      </c>
      <c r="I937" s="28">
        <f>WORKDAY(Settings!$D$13,INT($G937/HoursPerDay)+1,Holidays)</f>
        <v>46371</v>
      </c>
      <c r="J937" s="28">
        <f>IF($E937=0,$I937,WORKDAY(Settings!$D$13,ROUNDUP($H937/HoursPerDay,0),Holidays))</f>
        <v>46371</v>
      </c>
    </row>
    <row r="938" spans="1:10" x14ac:dyDescent="0.25">
      <c r="A938" s="25" t="s">
        <v>12</v>
      </c>
      <c r="B938" s="25" t="s">
        <v>757</v>
      </c>
      <c r="C938" s="25" t="s">
        <v>56</v>
      </c>
      <c r="D938" s="25" t="s">
        <v>51</v>
      </c>
      <c r="E938" s="26">
        <v>4</v>
      </c>
      <c r="F938" s="25" t="s">
        <v>57</v>
      </c>
      <c r="G938" s="27">
        <f>$H$934</f>
        <v>244</v>
      </c>
      <c r="H938" s="27">
        <f>$G938+$E938</f>
        <v>248</v>
      </c>
      <c r="I938" s="28">
        <f>WORKDAY(Settings!$D$13,INT($G938/HoursPerDay)+1,Holidays)</f>
        <v>46385</v>
      </c>
      <c r="J938" s="28">
        <f>IF($E938=0,$I938,WORKDAY(Settings!$D$13,ROUNDUP($H938/HoursPerDay,0),Holidays))</f>
        <v>46386</v>
      </c>
    </row>
    <row r="939" spans="1:10" x14ac:dyDescent="0.25">
      <c r="A939" s="25" t="s">
        <v>12</v>
      </c>
      <c r="B939" s="25" t="s">
        <v>758</v>
      </c>
      <c r="C939" s="25" t="s">
        <v>59</v>
      </c>
      <c r="D939" s="25" t="s">
        <v>51</v>
      </c>
      <c r="E939" s="26">
        <v>4</v>
      </c>
      <c r="F939" s="25" t="s">
        <v>60</v>
      </c>
      <c r="G939" s="27">
        <f>$H$935</f>
        <v>240</v>
      </c>
      <c r="H939" s="27">
        <f>$G939+$E939</f>
        <v>244</v>
      </c>
      <c r="I939" s="28">
        <f>WORKDAY(Settings!$D$13,INT($G939/HoursPerDay)+1,Holidays)</f>
        <v>46385</v>
      </c>
      <c r="J939" s="28">
        <f>IF($E939=0,$I939,WORKDAY(Settings!$D$13,ROUNDUP($H939/HoursPerDay,0),Holidays))</f>
        <v>46385</v>
      </c>
    </row>
    <row r="940" spans="1:10" x14ac:dyDescent="0.25">
      <c r="A940" s="22" t="s">
        <v>12</v>
      </c>
      <c r="B940" s="22" t="s">
        <v>759</v>
      </c>
      <c r="C940" s="22" t="s">
        <v>760</v>
      </c>
      <c r="D940" s="22" t="s">
        <v>48</v>
      </c>
      <c r="E940" s="23">
        <f>SUMIF($D941:$D944,"Task",$E941:$E944)</f>
        <v>14</v>
      </c>
      <c r="F940" s="22"/>
      <c r="G940" s="23"/>
      <c r="H940" s="23"/>
      <c r="I940" s="24">
        <f>MIN($I941:$I944)</f>
        <v>46371</v>
      </c>
      <c r="J940" s="24">
        <f>MAX($J941:$J944)</f>
        <v>46386</v>
      </c>
    </row>
    <row r="941" spans="1:10" x14ac:dyDescent="0.25">
      <c r="A941" s="25" t="s">
        <v>12</v>
      </c>
      <c r="B941" s="25" t="s">
        <v>761</v>
      </c>
      <c r="C941" s="25" t="s">
        <v>50</v>
      </c>
      <c r="D941" s="25" t="s">
        <v>51</v>
      </c>
      <c r="E941" s="26">
        <v>2</v>
      </c>
      <c r="F941" s="25" t="s">
        <v>78</v>
      </c>
      <c r="G941" s="27">
        <f>$H$932</f>
        <v>244</v>
      </c>
      <c r="H941" s="27">
        <f>$G941+$E941</f>
        <v>246</v>
      </c>
      <c r="I941" s="28">
        <f>WORKDAY(Settings!$D$13,INT($G941/HoursPerDay)+1,Holidays)</f>
        <v>46385</v>
      </c>
      <c r="J941" s="28">
        <f>IF($E941=0,$I941,WORKDAY(Settings!$D$13,ROUNDUP($H941/HoursPerDay,0),Holidays))</f>
        <v>46386</v>
      </c>
    </row>
    <row r="942" spans="1:10" x14ac:dyDescent="0.25">
      <c r="A942" s="25" t="s">
        <v>12</v>
      </c>
      <c r="B942" s="25" t="s">
        <v>762</v>
      </c>
      <c r="C942" s="25" t="s">
        <v>54</v>
      </c>
      <c r="D942" s="25" t="s">
        <v>51</v>
      </c>
      <c r="E942" s="26">
        <v>4</v>
      </c>
      <c r="F942" s="25" t="s">
        <v>52</v>
      </c>
      <c r="G942" s="27">
        <f>$H$937</f>
        <v>180</v>
      </c>
      <c r="H942" s="27">
        <f>$G942+$E942</f>
        <v>184</v>
      </c>
      <c r="I942" s="28">
        <f>WORKDAY(Settings!$D$13,INT($G942/HoursPerDay)+1,Holidays)</f>
        <v>46371</v>
      </c>
      <c r="J942" s="28">
        <f>IF($E942=0,$I942,WORKDAY(Settings!$D$13,ROUNDUP($H942/HoursPerDay,0),Holidays))</f>
        <v>46372</v>
      </c>
    </row>
    <row r="943" spans="1:10" x14ac:dyDescent="0.25">
      <c r="A943" s="25" t="s">
        <v>12</v>
      </c>
      <c r="B943" s="25" t="s">
        <v>763</v>
      </c>
      <c r="C943" s="25" t="s">
        <v>56</v>
      </c>
      <c r="D943" s="25" t="s">
        <v>51</v>
      </c>
      <c r="E943" s="26">
        <v>4</v>
      </c>
      <c r="F943" s="25" t="s">
        <v>57</v>
      </c>
      <c r="G943" s="27">
        <f>$H$938</f>
        <v>248</v>
      </c>
      <c r="H943" s="27">
        <f>$G943+$E943</f>
        <v>252</v>
      </c>
      <c r="I943" s="28">
        <f>WORKDAY(Settings!$D$13,INT($G943/HoursPerDay)+1,Holidays)</f>
        <v>46386</v>
      </c>
      <c r="J943" s="28">
        <f>IF($E943=0,$I943,WORKDAY(Settings!$D$13,ROUNDUP($H943/HoursPerDay,0),Holidays))</f>
        <v>46386</v>
      </c>
    </row>
    <row r="944" spans="1:10" x14ac:dyDescent="0.25">
      <c r="A944" s="25" t="s">
        <v>12</v>
      </c>
      <c r="B944" s="25" t="s">
        <v>764</v>
      </c>
      <c r="C944" s="25" t="s">
        <v>59</v>
      </c>
      <c r="D944" s="25" t="s">
        <v>51</v>
      </c>
      <c r="E944" s="26">
        <v>4</v>
      </c>
      <c r="F944" s="25" t="s">
        <v>60</v>
      </c>
      <c r="G944" s="27">
        <f>$H$939</f>
        <v>244</v>
      </c>
      <c r="H944" s="27">
        <f>$G944+$E944</f>
        <v>248</v>
      </c>
      <c r="I944" s="28">
        <f>WORKDAY(Settings!$D$13,INT($G944/HoursPerDay)+1,Holidays)</f>
        <v>46385</v>
      </c>
      <c r="J944" s="28">
        <f>IF($E944=0,$I944,WORKDAY(Settings!$D$13,ROUNDUP($H944/HoursPerDay,0),Holidays))</f>
        <v>46386</v>
      </c>
    </row>
    <row r="945" spans="1:10" x14ac:dyDescent="0.25">
      <c r="A945" s="19" t="s">
        <v>12</v>
      </c>
      <c r="B945" s="19" t="s">
        <v>406</v>
      </c>
      <c r="C945" s="19" t="s">
        <v>765</v>
      </c>
      <c r="D945" s="19" t="s">
        <v>45</v>
      </c>
      <c r="E945" s="20">
        <f>SUMIF($D946:$D1009,"Task",$E946:$E1009)</f>
        <v>48</v>
      </c>
      <c r="F945" s="19"/>
      <c r="G945" s="20"/>
      <c r="H945" s="20"/>
      <c r="I945" s="21">
        <f>MIN($I946:$I1009)</f>
        <v>46372</v>
      </c>
      <c r="J945" s="21">
        <f>MAX($J946:$J1009)</f>
        <v>46391</v>
      </c>
    </row>
    <row r="946" spans="1:10" x14ac:dyDescent="0.25">
      <c r="A946" s="22" t="s">
        <v>12</v>
      </c>
      <c r="B946" s="22" t="s">
        <v>766</v>
      </c>
      <c r="C946" s="22" t="s">
        <v>767</v>
      </c>
      <c r="D946" s="22" t="s">
        <v>48</v>
      </c>
      <c r="E946" s="23">
        <f>SUMIF($D947:$D949,"Task",$E947:$E949)</f>
        <v>3</v>
      </c>
      <c r="F946" s="22"/>
      <c r="G946" s="23"/>
      <c r="H946" s="23"/>
      <c r="I946" s="24">
        <f>MIN($I947:$I949)</f>
        <v>46372</v>
      </c>
      <c r="J946" s="24">
        <f>MAX($J947:$J949)</f>
        <v>46387</v>
      </c>
    </row>
    <row r="947" spans="1:10" x14ac:dyDescent="0.25">
      <c r="A947" s="25" t="s">
        <v>12</v>
      </c>
      <c r="B947" s="25" t="s">
        <v>768</v>
      </c>
      <c r="C947" s="25" t="s">
        <v>50</v>
      </c>
      <c r="D947" s="25" t="s">
        <v>51</v>
      </c>
      <c r="E947" s="26">
        <v>1</v>
      </c>
      <c r="F947" s="25" t="s">
        <v>78</v>
      </c>
      <c r="G947" s="27">
        <f>$H$941</f>
        <v>246</v>
      </c>
      <c r="H947" s="27">
        <f>$G947+$E947</f>
        <v>247</v>
      </c>
      <c r="I947" s="28">
        <f>WORKDAY(Settings!$D$13,INT($G947/HoursPerDay)+1,Holidays)</f>
        <v>46386</v>
      </c>
      <c r="J947" s="28">
        <f>IF($E947=0,$I947,WORKDAY(Settings!$D$13,ROUNDUP($H947/HoursPerDay,0),Holidays))</f>
        <v>46386</v>
      </c>
    </row>
    <row r="948" spans="1:10" x14ac:dyDescent="0.25">
      <c r="A948" s="25" t="s">
        <v>12</v>
      </c>
      <c r="B948" s="25" t="s">
        <v>769</v>
      </c>
      <c r="C948" s="25" t="s">
        <v>54</v>
      </c>
      <c r="D948" s="25" t="s">
        <v>51</v>
      </c>
      <c r="E948" s="26">
        <v>1</v>
      </c>
      <c r="F948" s="25" t="s">
        <v>52</v>
      </c>
      <c r="G948" s="27">
        <f>$H$942</f>
        <v>184</v>
      </c>
      <c r="H948" s="27">
        <f>$G948+$E948</f>
        <v>185</v>
      </c>
      <c r="I948" s="28">
        <f>WORKDAY(Settings!$D$13,INT($G948/HoursPerDay)+1,Holidays)</f>
        <v>46372</v>
      </c>
      <c r="J948" s="28">
        <f>IF($E948=0,$I948,WORKDAY(Settings!$D$13,ROUNDUP($H948/HoursPerDay,0),Holidays))</f>
        <v>46372</v>
      </c>
    </row>
    <row r="949" spans="1:10" x14ac:dyDescent="0.25">
      <c r="A949" s="25" t="s">
        <v>12</v>
      </c>
      <c r="B949" s="25" t="s">
        <v>770</v>
      </c>
      <c r="C949" s="25" t="s">
        <v>56</v>
      </c>
      <c r="D949" s="25" t="s">
        <v>51</v>
      </c>
      <c r="E949" s="26">
        <v>1</v>
      </c>
      <c r="F949" s="25" t="s">
        <v>57</v>
      </c>
      <c r="G949" s="27">
        <f>$H$943</f>
        <v>252</v>
      </c>
      <c r="H949" s="27">
        <f>$G949+$E949</f>
        <v>253</v>
      </c>
      <c r="I949" s="28">
        <f>WORKDAY(Settings!$D$13,INT($G949/HoursPerDay)+1,Holidays)</f>
        <v>46387</v>
      </c>
      <c r="J949" s="28">
        <f>IF($E949=0,$I949,WORKDAY(Settings!$D$13,ROUNDUP($H949/HoursPerDay,0),Holidays))</f>
        <v>46387</v>
      </c>
    </row>
    <row r="950" spans="1:10" x14ac:dyDescent="0.25">
      <c r="A950" s="22" t="s">
        <v>12</v>
      </c>
      <c r="B950" s="22" t="s">
        <v>408</v>
      </c>
      <c r="C950" s="22" t="s">
        <v>771</v>
      </c>
      <c r="D950" s="22" t="s">
        <v>48</v>
      </c>
      <c r="E950" s="23">
        <f>SUMIF($D951:$D953,"Task",$E951:$E953)</f>
        <v>3</v>
      </c>
      <c r="F950" s="22"/>
      <c r="G950" s="23"/>
      <c r="H950" s="23"/>
      <c r="I950" s="24">
        <f>MIN($I951:$I953)</f>
        <v>46372</v>
      </c>
      <c r="J950" s="24">
        <f>MAX($J951:$J953)</f>
        <v>46387</v>
      </c>
    </row>
    <row r="951" spans="1:10" x14ac:dyDescent="0.25">
      <c r="A951" s="25" t="s">
        <v>12</v>
      </c>
      <c r="B951" s="25" t="s">
        <v>772</v>
      </c>
      <c r="C951" s="25" t="s">
        <v>50</v>
      </c>
      <c r="D951" s="25" t="s">
        <v>51</v>
      </c>
      <c r="E951" s="26">
        <v>1</v>
      </c>
      <c r="F951" s="25" t="s">
        <v>78</v>
      </c>
      <c r="G951" s="27">
        <f>$H$947</f>
        <v>247</v>
      </c>
      <c r="H951" s="27">
        <f>$G951+$E951</f>
        <v>248</v>
      </c>
      <c r="I951" s="28">
        <f>WORKDAY(Settings!$D$13,INT($G951/HoursPerDay)+1,Holidays)</f>
        <v>46386</v>
      </c>
      <c r="J951" s="28">
        <f>IF($E951=0,$I951,WORKDAY(Settings!$D$13,ROUNDUP($H951/HoursPerDay,0),Holidays))</f>
        <v>46386</v>
      </c>
    </row>
    <row r="952" spans="1:10" x14ac:dyDescent="0.25">
      <c r="A952" s="25" t="s">
        <v>12</v>
      </c>
      <c r="B952" s="25" t="s">
        <v>773</v>
      </c>
      <c r="C952" s="25" t="s">
        <v>54</v>
      </c>
      <c r="D952" s="25" t="s">
        <v>51</v>
      </c>
      <c r="E952" s="26">
        <v>1</v>
      </c>
      <c r="F952" s="25" t="s">
        <v>52</v>
      </c>
      <c r="G952" s="27">
        <f>$H$948</f>
        <v>185</v>
      </c>
      <c r="H952" s="27">
        <f>$G952+$E952</f>
        <v>186</v>
      </c>
      <c r="I952" s="28">
        <f>WORKDAY(Settings!$D$13,INT($G952/HoursPerDay)+1,Holidays)</f>
        <v>46372</v>
      </c>
      <c r="J952" s="28">
        <f>IF($E952=0,$I952,WORKDAY(Settings!$D$13,ROUNDUP($H952/HoursPerDay,0),Holidays))</f>
        <v>46372</v>
      </c>
    </row>
    <row r="953" spans="1:10" x14ac:dyDescent="0.25">
      <c r="A953" s="25" t="s">
        <v>12</v>
      </c>
      <c r="B953" s="25" t="s">
        <v>410</v>
      </c>
      <c r="C953" s="25" t="s">
        <v>56</v>
      </c>
      <c r="D953" s="25" t="s">
        <v>51</v>
      </c>
      <c r="E953" s="26">
        <v>1</v>
      </c>
      <c r="F953" s="25" t="s">
        <v>57</v>
      </c>
      <c r="G953" s="27">
        <f>$H$949</f>
        <v>253</v>
      </c>
      <c r="H953" s="27">
        <f>$G953+$E953</f>
        <v>254</v>
      </c>
      <c r="I953" s="28">
        <f>WORKDAY(Settings!$D$13,INT($G953/HoursPerDay)+1,Holidays)</f>
        <v>46387</v>
      </c>
      <c r="J953" s="28">
        <f>IF($E953=0,$I953,WORKDAY(Settings!$D$13,ROUNDUP($H953/HoursPerDay,0),Holidays))</f>
        <v>46387</v>
      </c>
    </row>
    <row r="954" spans="1:10" x14ac:dyDescent="0.25">
      <c r="A954" s="22" t="s">
        <v>12</v>
      </c>
      <c r="B954" s="22" t="s">
        <v>774</v>
      </c>
      <c r="C954" s="22" t="s">
        <v>775</v>
      </c>
      <c r="D954" s="22" t="s">
        <v>48</v>
      </c>
      <c r="E954" s="23">
        <f>SUMIF($D955:$D957,"Task",$E955:$E957)</f>
        <v>3</v>
      </c>
      <c r="F954" s="22"/>
      <c r="G954" s="23"/>
      <c r="H954" s="23"/>
      <c r="I954" s="24">
        <f>MIN($I955:$I957)</f>
        <v>46372</v>
      </c>
      <c r="J954" s="24">
        <f>MAX($J955:$J957)</f>
        <v>46387</v>
      </c>
    </row>
    <row r="955" spans="1:10" x14ac:dyDescent="0.25">
      <c r="A955" s="25" t="s">
        <v>12</v>
      </c>
      <c r="B955" s="25" t="s">
        <v>776</v>
      </c>
      <c r="C955" s="25" t="s">
        <v>50</v>
      </c>
      <c r="D955" s="25" t="s">
        <v>51</v>
      </c>
      <c r="E955" s="26">
        <v>1</v>
      </c>
      <c r="F955" s="25" t="s">
        <v>78</v>
      </c>
      <c r="G955" s="27">
        <f>$H$951</f>
        <v>248</v>
      </c>
      <c r="H955" s="27">
        <f>$G955+$E955</f>
        <v>249</v>
      </c>
      <c r="I955" s="28">
        <f>WORKDAY(Settings!$D$13,INT($G955/HoursPerDay)+1,Holidays)</f>
        <v>46386</v>
      </c>
      <c r="J955" s="28">
        <f>IF($E955=0,$I955,WORKDAY(Settings!$D$13,ROUNDUP($H955/HoursPerDay,0),Holidays))</f>
        <v>46386</v>
      </c>
    </row>
    <row r="956" spans="1:10" x14ac:dyDescent="0.25">
      <c r="A956" s="25" t="s">
        <v>12</v>
      </c>
      <c r="B956" s="25" t="s">
        <v>777</v>
      </c>
      <c r="C956" s="25" t="s">
        <v>54</v>
      </c>
      <c r="D956" s="25" t="s">
        <v>51</v>
      </c>
      <c r="E956" s="26">
        <v>1</v>
      </c>
      <c r="F956" s="25" t="s">
        <v>52</v>
      </c>
      <c r="G956" s="27">
        <f>$H$952</f>
        <v>186</v>
      </c>
      <c r="H956" s="27">
        <f>$G956+$E956</f>
        <v>187</v>
      </c>
      <c r="I956" s="28">
        <f>WORKDAY(Settings!$D$13,INT($G956/HoursPerDay)+1,Holidays)</f>
        <v>46372</v>
      </c>
      <c r="J956" s="28">
        <f>IF($E956=0,$I956,WORKDAY(Settings!$D$13,ROUNDUP($H956/HoursPerDay,0),Holidays))</f>
        <v>46372</v>
      </c>
    </row>
    <row r="957" spans="1:10" x14ac:dyDescent="0.25">
      <c r="A957" s="25" t="s">
        <v>12</v>
      </c>
      <c r="B957" s="25" t="s">
        <v>778</v>
      </c>
      <c r="C957" s="25" t="s">
        <v>56</v>
      </c>
      <c r="D957" s="25" t="s">
        <v>51</v>
      </c>
      <c r="E957" s="26">
        <v>1</v>
      </c>
      <c r="F957" s="25" t="s">
        <v>57</v>
      </c>
      <c r="G957" s="27">
        <f>$H$953</f>
        <v>254</v>
      </c>
      <c r="H957" s="27">
        <f>$G957+$E957</f>
        <v>255</v>
      </c>
      <c r="I957" s="28">
        <f>WORKDAY(Settings!$D$13,INT($G957/HoursPerDay)+1,Holidays)</f>
        <v>46387</v>
      </c>
      <c r="J957" s="28">
        <f>IF($E957=0,$I957,WORKDAY(Settings!$D$13,ROUNDUP($H957/HoursPerDay,0),Holidays))</f>
        <v>46387</v>
      </c>
    </row>
    <row r="958" spans="1:10" x14ac:dyDescent="0.25">
      <c r="A958" s="22" t="s">
        <v>12</v>
      </c>
      <c r="B958" s="22" t="s">
        <v>779</v>
      </c>
      <c r="C958" s="22" t="s">
        <v>780</v>
      </c>
      <c r="D958" s="22" t="s">
        <v>48</v>
      </c>
      <c r="E958" s="23">
        <f>SUMIF($D959:$D961,"Task",$E959:$E961)</f>
        <v>3</v>
      </c>
      <c r="F958" s="22"/>
      <c r="G958" s="23"/>
      <c r="H958" s="23"/>
      <c r="I958" s="24">
        <f>MIN($I959:$I961)</f>
        <v>46372</v>
      </c>
      <c r="J958" s="24">
        <f>MAX($J959:$J961)</f>
        <v>46387</v>
      </c>
    </row>
    <row r="959" spans="1:10" x14ac:dyDescent="0.25">
      <c r="A959" s="25" t="s">
        <v>12</v>
      </c>
      <c r="B959" s="25" t="s">
        <v>781</v>
      </c>
      <c r="C959" s="25" t="s">
        <v>50</v>
      </c>
      <c r="D959" s="25" t="s">
        <v>51</v>
      </c>
      <c r="E959" s="26">
        <v>1</v>
      </c>
      <c r="F959" s="25" t="s">
        <v>78</v>
      </c>
      <c r="G959" s="27">
        <f>$H$955</f>
        <v>249</v>
      </c>
      <c r="H959" s="27">
        <f>$G959+$E959</f>
        <v>250</v>
      </c>
      <c r="I959" s="28">
        <f>WORKDAY(Settings!$D$13,INT($G959/HoursPerDay)+1,Holidays)</f>
        <v>46386</v>
      </c>
      <c r="J959" s="28">
        <f>IF($E959=0,$I959,WORKDAY(Settings!$D$13,ROUNDUP($H959/HoursPerDay,0),Holidays))</f>
        <v>46386</v>
      </c>
    </row>
    <row r="960" spans="1:10" x14ac:dyDescent="0.25">
      <c r="A960" s="25" t="s">
        <v>12</v>
      </c>
      <c r="B960" s="25" t="s">
        <v>782</v>
      </c>
      <c r="C960" s="25" t="s">
        <v>54</v>
      </c>
      <c r="D960" s="25" t="s">
        <v>51</v>
      </c>
      <c r="E960" s="26">
        <v>1</v>
      </c>
      <c r="F960" s="25" t="s">
        <v>52</v>
      </c>
      <c r="G960" s="27">
        <f>$H$956</f>
        <v>187</v>
      </c>
      <c r="H960" s="27">
        <f>$G960+$E960</f>
        <v>188</v>
      </c>
      <c r="I960" s="28">
        <f>WORKDAY(Settings!$D$13,INT($G960/HoursPerDay)+1,Holidays)</f>
        <v>46372</v>
      </c>
      <c r="J960" s="28">
        <f>IF($E960=0,$I960,WORKDAY(Settings!$D$13,ROUNDUP($H960/HoursPerDay,0),Holidays))</f>
        <v>46372</v>
      </c>
    </row>
    <row r="961" spans="1:10" x14ac:dyDescent="0.25">
      <c r="A961" s="25" t="s">
        <v>12</v>
      </c>
      <c r="B961" s="25" t="s">
        <v>783</v>
      </c>
      <c r="C961" s="25" t="s">
        <v>56</v>
      </c>
      <c r="D961" s="25" t="s">
        <v>51</v>
      </c>
      <c r="E961" s="26">
        <v>1</v>
      </c>
      <c r="F961" s="25" t="s">
        <v>57</v>
      </c>
      <c r="G961" s="27">
        <f>$H$957</f>
        <v>255</v>
      </c>
      <c r="H961" s="27">
        <f>$G961+$E961</f>
        <v>256</v>
      </c>
      <c r="I961" s="28">
        <f>WORKDAY(Settings!$D$13,INT($G961/HoursPerDay)+1,Holidays)</f>
        <v>46387</v>
      </c>
      <c r="J961" s="28">
        <f>IF($E961=0,$I961,WORKDAY(Settings!$D$13,ROUNDUP($H961/HoursPerDay,0),Holidays))</f>
        <v>46387</v>
      </c>
    </row>
    <row r="962" spans="1:10" x14ac:dyDescent="0.25">
      <c r="A962" s="22" t="s">
        <v>12</v>
      </c>
      <c r="B962" s="22" t="s">
        <v>784</v>
      </c>
      <c r="C962" s="22" t="s">
        <v>785</v>
      </c>
      <c r="D962" s="22" t="s">
        <v>48</v>
      </c>
      <c r="E962" s="23">
        <f>SUMIF($D963:$D965,"Task",$E963:$E965)</f>
        <v>3</v>
      </c>
      <c r="F962" s="22"/>
      <c r="G962" s="23"/>
      <c r="H962" s="23"/>
      <c r="I962" s="24">
        <f>MIN($I963:$I965)</f>
        <v>46372</v>
      </c>
      <c r="J962" s="24">
        <f>MAX($J963:$J965)</f>
        <v>46387</v>
      </c>
    </row>
    <row r="963" spans="1:10" x14ac:dyDescent="0.25">
      <c r="A963" s="25" t="s">
        <v>12</v>
      </c>
      <c r="B963" s="25" t="s">
        <v>786</v>
      </c>
      <c r="C963" s="25" t="s">
        <v>50</v>
      </c>
      <c r="D963" s="25" t="s">
        <v>51</v>
      </c>
      <c r="E963" s="26">
        <v>1</v>
      </c>
      <c r="F963" s="25" t="s">
        <v>78</v>
      </c>
      <c r="G963" s="27">
        <f>$H$959</f>
        <v>250</v>
      </c>
      <c r="H963" s="27">
        <f>$G963+$E963</f>
        <v>251</v>
      </c>
      <c r="I963" s="28">
        <f>WORKDAY(Settings!$D$13,INT($G963/HoursPerDay)+1,Holidays)</f>
        <v>46386</v>
      </c>
      <c r="J963" s="28">
        <f>IF($E963=0,$I963,WORKDAY(Settings!$D$13,ROUNDUP($H963/HoursPerDay,0),Holidays))</f>
        <v>46386</v>
      </c>
    </row>
    <row r="964" spans="1:10" x14ac:dyDescent="0.25">
      <c r="A964" s="25" t="s">
        <v>12</v>
      </c>
      <c r="B964" s="25" t="s">
        <v>787</v>
      </c>
      <c r="C964" s="25" t="s">
        <v>54</v>
      </c>
      <c r="D964" s="25" t="s">
        <v>51</v>
      </c>
      <c r="E964" s="26">
        <v>1</v>
      </c>
      <c r="F964" s="25" t="s">
        <v>52</v>
      </c>
      <c r="G964" s="27">
        <f>$H$960</f>
        <v>188</v>
      </c>
      <c r="H964" s="27">
        <f>$G964+$E964</f>
        <v>189</v>
      </c>
      <c r="I964" s="28">
        <f>WORKDAY(Settings!$D$13,INT($G964/HoursPerDay)+1,Holidays)</f>
        <v>46372</v>
      </c>
      <c r="J964" s="28">
        <f>IF($E964=0,$I964,WORKDAY(Settings!$D$13,ROUNDUP($H964/HoursPerDay,0),Holidays))</f>
        <v>46372</v>
      </c>
    </row>
    <row r="965" spans="1:10" x14ac:dyDescent="0.25">
      <c r="A965" s="25" t="s">
        <v>12</v>
      </c>
      <c r="B965" s="25" t="s">
        <v>788</v>
      </c>
      <c r="C965" s="25" t="s">
        <v>56</v>
      </c>
      <c r="D965" s="25" t="s">
        <v>51</v>
      </c>
      <c r="E965" s="26">
        <v>1</v>
      </c>
      <c r="F965" s="25" t="s">
        <v>57</v>
      </c>
      <c r="G965" s="27">
        <f>$H$961</f>
        <v>256</v>
      </c>
      <c r="H965" s="27">
        <f>$G965+$E965</f>
        <v>257</v>
      </c>
      <c r="I965" s="28">
        <f>WORKDAY(Settings!$D$13,INT($G965/HoursPerDay)+1,Holidays)</f>
        <v>46387</v>
      </c>
      <c r="J965" s="28">
        <f>IF($E965=0,$I965,WORKDAY(Settings!$D$13,ROUNDUP($H965/HoursPerDay,0),Holidays))</f>
        <v>46387</v>
      </c>
    </row>
    <row r="966" spans="1:10" x14ac:dyDescent="0.25">
      <c r="A966" s="22" t="s">
        <v>12</v>
      </c>
      <c r="B966" s="22" t="s">
        <v>789</v>
      </c>
      <c r="C966" s="22" t="s">
        <v>790</v>
      </c>
      <c r="D966" s="22" t="s">
        <v>48</v>
      </c>
      <c r="E966" s="23">
        <f>SUMIF($D967:$D969,"Task",$E967:$E969)</f>
        <v>3</v>
      </c>
      <c r="F966" s="22"/>
      <c r="G966" s="23"/>
      <c r="H966" s="23"/>
      <c r="I966" s="24">
        <f>MIN($I967:$I969)</f>
        <v>46373</v>
      </c>
      <c r="J966" s="24">
        <f>MAX($J967:$J969)</f>
        <v>46387</v>
      </c>
    </row>
    <row r="967" spans="1:10" x14ac:dyDescent="0.25">
      <c r="A967" s="25" t="s">
        <v>12</v>
      </c>
      <c r="B967" s="25" t="s">
        <v>791</v>
      </c>
      <c r="C967" s="25" t="s">
        <v>50</v>
      </c>
      <c r="D967" s="25" t="s">
        <v>51</v>
      </c>
      <c r="E967" s="26">
        <v>1</v>
      </c>
      <c r="F967" s="25" t="s">
        <v>78</v>
      </c>
      <c r="G967" s="27">
        <f>$H$963</f>
        <v>251</v>
      </c>
      <c r="H967" s="27">
        <f>$G967+$E967</f>
        <v>252</v>
      </c>
      <c r="I967" s="28">
        <f>WORKDAY(Settings!$D$13,INT($G967/HoursPerDay)+1,Holidays)</f>
        <v>46386</v>
      </c>
      <c r="J967" s="28">
        <f>IF($E967=0,$I967,WORKDAY(Settings!$D$13,ROUNDUP($H967/HoursPerDay,0),Holidays))</f>
        <v>46386</v>
      </c>
    </row>
    <row r="968" spans="1:10" x14ac:dyDescent="0.25">
      <c r="A968" s="25" t="s">
        <v>12</v>
      </c>
      <c r="B968" s="25" t="s">
        <v>792</v>
      </c>
      <c r="C968" s="25" t="s">
        <v>54</v>
      </c>
      <c r="D968" s="25" t="s">
        <v>51</v>
      </c>
      <c r="E968" s="26">
        <v>1</v>
      </c>
      <c r="F968" s="25" t="s">
        <v>52</v>
      </c>
      <c r="G968" s="27">
        <f>$H$964</f>
        <v>189</v>
      </c>
      <c r="H968" s="27">
        <f>$G968+$E968</f>
        <v>190</v>
      </c>
      <c r="I968" s="28">
        <f>WORKDAY(Settings!$D$13,INT($G968/HoursPerDay)+1,Holidays)</f>
        <v>46373</v>
      </c>
      <c r="J968" s="28">
        <f>IF($E968=0,$I968,WORKDAY(Settings!$D$13,ROUNDUP($H968/HoursPerDay,0),Holidays))</f>
        <v>46373</v>
      </c>
    </row>
    <row r="969" spans="1:10" x14ac:dyDescent="0.25">
      <c r="A969" s="25" t="s">
        <v>12</v>
      </c>
      <c r="B969" s="25" t="s">
        <v>793</v>
      </c>
      <c r="C969" s="25" t="s">
        <v>56</v>
      </c>
      <c r="D969" s="25" t="s">
        <v>51</v>
      </c>
      <c r="E969" s="26">
        <v>1</v>
      </c>
      <c r="F969" s="25" t="s">
        <v>57</v>
      </c>
      <c r="G969" s="27">
        <f>$H$965</f>
        <v>257</v>
      </c>
      <c r="H969" s="27">
        <f>$G969+$E969</f>
        <v>258</v>
      </c>
      <c r="I969" s="28">
        <f>WORKDAY(Settings!$D$13,INT($G969/HoursPerDay)+1,Holidays)</f>
        <v>46387</v>
      </c>
      <c r="J969" s="28">
        <f>IF($E969=0,$I969,WORKDAY(Settings!$D$13,ROUNDUP($H969/HoursPerDay,0),Holidays))</f>
        <v>46387</v>
      </c>
    </row>
    <row r="970" spans="1:10" x14ac:dyDescent="0.25">
      <c r="A970" s="22" t="s">
        <v>12</v>
      </c>
      <c r="B970" s="22" t="s">
        <v>794</v>
      </c>
      <c r="C970" s="22" t="s">
        <v>795</v>
      </c>
      <c r="D970" s="22" t="s">
        <v>48</v>
      </c>
      <c r="E970" s="23">
        <f>SUMIF($D971:$D973,"Task",$E971:$E973)</f>
        <v>3</v>
      </c>
      <c r="F970" s="22"/>
      <c r="G970" s="23"/>
      <c r="H970" s="23"/>
      <c r="I970" s="24">
        <f>MIN($I971:$I973)</f>
        <v>46373</v>
      </c>
      <c r="J970" s="24">
        <f>MAX($J971:$J973)</f>
        <v>46387</v>
      </c>
    </row>
    <row r="971" spans="1:10" x14ac:dyDescent="0.25">
      <c r="A971" s="25" t="s">
        <v>12</v>
      </c>
      <c r="B971" s="25" t="s">
        <v>796</v>
      </c>
      <c r="C971" s="25" t="s">
        <v>50</v>
      </c>
      <c r="D971" s="25" t="s">
        <v>51</v>
      </c>
      <c r="E971" s="26">
        <v>1</v>
      </c>
      <c r="F971" s="25" t="s">
        <v>78</v>
      </c>
      <c r="G971" s="27">
        <f>$H$967</f>
        <v>252</v>
      </c>
      <c r="H971" s="27">
        <f>$G971+$E971</f>
        <v>253</v>
      </c>
      <c r="I971" s="28">
        <f>WORKDAY(Settings!$D$13,INT($G971/HoursPerDay)+1,Holidays)</f>
        <v>46387</v>
      </c>
      <c r="J971" s="28">
        <f>IF($E971=0,$I971,WORKDAY(Settings!$D$13,ROUNDUP($H971/HoursPerDay,0),Holidays))</f>
        <v>46387</v>
      </c>
    </row>
    <row r="972" spans="1:10" x14ac:dyDescent="0.25">
      <c r="A972" s="25" t="s">
        <v>12</v>
      </c>
      <c r="B972" s="25" t="s">
        <v>797</v>
      </c>
      <c r="C972" s="25" t="s">
        <v>54</v>
      </c>
      <c r="D972" s="25" t="s">
        <v>51</v>
      </c>
      <c r="E972" s="26">
        <v>1</v>
      </c>
      <c r="F972" s="25" t="s">
        <v>52</v>
      </c>
      <c r="G972" s="27">
        <f>$H$968</f>
        <v>190</v>
      </c>
      <c r="H972" s="27">
        <f>$G972+$E972</f>
        <v>191</v>
      </c>
      <c r="I972" s="28">
        <f>WORKDAY(Settings!$D$13,INT($G972/HoursPerDay)+1,Holidays)</f>
        <v>46373</v>
      </c>
      <c r="J972" s="28">
        <f>IF($E972=0,$I972,WORKDAY(Settings!$D$13,ROUNDUP($H972/HoursPerDay,0),Holidays))</f>
        <v>46373</v>
      </c>
    </row>
    <row r="973" spans="1:10" x14ac:dyDescent="0.25">
      <c r="A973" s="25" t="s">
        <v>12</v>
      </c>
      <c r="B973" s="25" t="s">
        <v>798</v>
      </c>
      <c r="C973" s="25" t="s">
        <v>56</v>
      </c>
      <c r="D973" s="25" t="s">
        <v>51</v>
      </c>
      <c r="E973" s="26">
        <v>1</v>
      </c>
      <c r="F973" s="25" t="s">
        <v>57</v>
      </c>
      <c r="G973" s="27">
        <f>$H$969</f>
        <v>258</v>
      </c>
      <c r="H973" s="27">
        <f>$G973+$E973</f>
        <v>259</v>
      </c>
      <c r="I973" s="28">
        <f>WORKDAY(Settings!$D$13,INT($G973/HoursPerDay)+1,Holidays)</f>
        <v>46387</v>
      </c>
      <c r="J973" s="28">
        <f>IF($E973=0,$I973,WORKDAY(Settings!$D$13,ROUNDUP($H973/HoursPerDay,0),Holidays))</f>
        <v>46387</v>
      </c>
    </row>
    <row r="974" spans="1:10" x14ac:dyDescent="0.25">
      <c r="A974" s="22" t="s">
        <v>12</v>
      </c>
      <c r="B974" s="22" t="s">
        <v>799</v>
      </c>
      <c r="C974" s="22" t="s">
        <v>800</v>
      </c>
      <c r="D974" s="22" t="s">
        <v>48</v>
      </c>
      <c r="E974" s="23">
        <f>SUMIF($D975:$D977,"Task",$E975:$E977)</f>
        <v>3</v>
      </c>
      <c r="F974" s="22"/>
      <c r="G974" s="23"/>
      <c r="H974" s="23"/>
      <c r="I974" s="24">
        <f>MIN($I975:$I977)</f>
        <v>46373</v>
      </c>
      <c r="J974" s="24">
        <f>MAX($J975:$J977)</f>
        <v>46388</v>
      </c>
    </row>
    <row r="975" spans="1:10" x14ac:dyDescent="0.25">
      <c r="A975" s="25" t="s">
        <v>12</v>
      </c>
      <c r="B975" s="25" t="s">
        <v>801</v>
      </c>
      <c r="C975" s="25" t="s">
        <v>50</v>
      </c>
      <c r="D975" s="25" t="s">
        <v>51</v>
      </c>
      <c r="E975" s="26">
        <v>1</v>
      </c>
      <c r="F975" s="25" t="s">
        <v>78</v>
      </c>
      <c r="G975" s="27">
        <f>$H$971</f>
        <v>253</v>
      </c>
      <c r="H975" s="27">
        <f>$G975+$E975</f>
        <v>254</v>
      </c>
      <c r="I975" s="28">
        <f>WORKDAY(Settings!$D$13,INT($G975/HoursPerDay)+1,Holidays)</f>
        <v>46387</v>
      </c>
      <c r="J975" s="28">
        <f>IF($E975=0,$I975,WORKDAY(Settings!$D$13,ROUNDUP($H975/HoursPerDay,0),Holidays))</f>
        <v>46387</v>
      </c>
    </row>
    <row r="976" spans="1:10" x14ac:dyDescent="0.25">
      <c r="A976" s="25" t="s">
        <v>12</v>
      </c>
      <c r="B976" s="25" t="s">
        <v>802</v>
      </c>
      <c r="C976" s="25" t="s">
        <v>54</v>
      </c>
      <c r="D976" s="25" t="s">
        <v>51</v>
      </c>
      <c r="E976" s="26">
        <v>1</v>
      </c>
      <c r="F976" s="25" t="s">
        <v>52</v>
      </c>
      <c r="G976" s="27">
        <f>$H$972</f>
        <v>191</v>
      </c>
      <c r="H976" s="27">
        <f>$G976+$E976</f>
        <v>192</v>
      </c>
      <c r="I976" s="28">
        <f>WORKDAY(Settings!$D$13,INT($G976/HoursPerDay)+1,Holidays)</f>
        <v>46373</v>
      </c>
      <c r="J976" s="28">
        <f>IF($E976=0,$I976,WORKDAY(Settings!$D$13,ROUNDUP($H976/HoursPerDay,0),Holidays))</f>
        <v>46373</v>
      </c>
    </row>
    <row r="977" spans="1:10" x14ac:dyDescent="0.25">
      <c r="A977" s="25" t="s">
        <v>12</v>
      </c>
      <c r="B977" s="25" t="s">
        <v>803</v>
      </c>
      <c r="C977" s="25" t="s">
        <v>56</v>
      </c>
      <c r="D977" s="25" t="s">
        <v>51</v>
      </c>
      <c r="E977" s="26">
        <v>1</v>
      </c>
      <c r="F977" s="25" t="s">
        <v>57</v>
      </c>
      <c r="G977" s="27">
        <f>$H$973</f>
        <v>259</v>
      </c>
      <c r="H977" s="27">
        <f>$G977+$E977</f>
        <v>260</v>
      </c>
      <c r="I977" s="28">
        <f>WORKDAY(Settings!$D$13,INT($G977/HoursPerDay)+1,Holidays)</f>
        <v>46388</v>
      </c>
      <c r="J977" s="28">
        <f>IF($E977=0,$I977,WORKDAY(Settings!$D$13,ROUNDUP($H977/HoursPerDay,0),Holidays))</f>
        <v>46388</v>
      </c>
    </row>
    <row r="978" spans="1:10" x14ac:dyDescent="0.25">
      <c r="A978" s="22" t="s">
        <v>12</v>
      </c>
      <c r="B978" s="22" t="s">
        <v>804</v>
      </c>
      <c r="C978" s="22" t="s">
        <v>805</v>
      </c>
      <c r="D978" s="22" t="s">
        <v>48</v>
      </c>
      <c r="E978" s="23">
        <f>SUMIF($D979:$D981,"Task",$E979:$E981)</f>
        <v>3</v>
      </c>
      <c r="F978" s="22"/>
      <c r="G978" s="23"/>
      <c r="H978" s="23"/>
      <c r="I978" s="24">
        <f>MIN($I979:$I981)</f>
        <v>46373</v>
      </c>
      <c r="J978" s="24">
        <f>MAX($J979:$J981)</f>
        <v>46388</v>
      </c>
    </row>
    <row r="979" spans="1:10" x14ac:dyDescent="0.25">
      <c r="A979" s="25" t="s">
        <v>12</v>
      </c>
      <c r="B979" s="25" t="s">
        <v>806</v>
      </c>
      <c r="C979" s="25" t="s">
        <v>50</v>
      </c>
      <c r="D979" s="25" t="s">
        <v>51</v>
      </c>
      <c r="E979" s="26">
        <v>1</v>
      </c>
      <c r="F979" s="25" t="s">
        <v>78</v>
      </c>
      <c r="G979" s="27">
        <f>$H$975</f>
        <v>254</v>
      </c>
      <c r="H979" s="27">
        <f>$G979+$E979</f>
        <v>255</v>
      </c>
      <c r="I979" s="28">
        <f>WORKDAY(Settings!$D$13,INT($G979/HoursPerDay)+1,Holidays)</f>
        <v>46387</v>
      </c>
      <c r="J979" s="28">
        <f>IF($E979=0,$I979,WORKDAY(Settings!$D$13,ROUNDUP($H979/HoursPerDay,0),Holidays))</f>
        <v>46387</v>
      </c>
    </row>
    <row r="980" spans="1:10" x14ac:dyDescent="0.25">
      <c r="A980" s="25" t="s">
        <v>12</v>
      </c>
      <c r="B980" s="25" t="s">
        <v>807</v>
      </c>
      <c r="C980" s="25" t="s">
        <v>54</v>
      </c>
      <c r="D980" s="25" t="s">
        <v>51</v>
      </c>
      <c r="E980" s="26">
        <v>1</v>
      </c>
      <c r="F980" s="25" t="s">
        <v>52</v>
      </c>
      <c r="G980" s="27">
        <f>$H$976</f>
        <v>192</v>
      </c>
      <c r="H980" s="27">
        <f>$G980+$E980</f>
        <v>193</v>
      </c>
      <c r="I980" s="28">
        <f>WORKDAY(Settings!$D$13,INT($G980/HoursPerDay)+1,Holidays)</f>
        <v>46373</v>
      </c>
      <c r="J980" s="28">
        <f>IF($E980=0,$I980,WORKDAY(Settings!$D$13,ROUNDUP($H980/HoursPerDay,0),Holidays))</f>
        <v>46373</v>
      </c>
    </row>
    <row r="981" spans="1:10" x14ac:dyDescent="0.25">
      <c r="A981" s="25" t="s">
        <v>12</v>
      </c>
      <c r="B981" s="25" t="s">
        <v>808</v>
      </c>
      <c r="C981" s="25" t="s">
        <v>56</v>
      </c>
      <c r="D981" s="25" t="s">
        <v>51</v>
      </c>
      <c r="E981" s="26">
        <v>1</v>
      </c>
      <c r="F981" s="25" t="s">
        <v>57</v>
      </c>
      <c r="G981" s="27">
        <f>$H$977</f>
        <v>260</v>
      </c>
      <c r="H981" s="27">
        <f>$G981+$E981</f>
        <v>261</v>
      </c>
      <c r="I981" s="28">
        <f>WORKDAY(Settings!$D$13,INT($G981/HoursPerDay)+1,Holidays)</f>
        <v>46388</v>
      </c>
      <c r="J981" s="28">
        <f>IF($E981=0,$I981,WORKDAY(Settings!$D$13,ROUNDUP($H981/HoursPerDay,0),Holidays))</f>
        <v>46388</v>
      </c>
    </row>
    <row r="982" spans="1:10" x14ac:dyDescent="0.25">
      <c r="A982" s="22" t="s">
        <v>12</v>
      </c>
      <c r="B982" s="22" t="s">
        <v>809</v>
      </c>
      <c r="C982" s="22" t="s">
        <v>810</v>
      </c>
      <c r="D982" s="22" t="s">
        <v>48</v>
      </c>
      <c r="E982" s="23">
        <f>SUMIF($D983:$D985,"Task",$E983:$E985)</f>
        <v>3</v>
      </c>
      <c r="F982" s="22"/>
      <c r="G982" s="23"/>
      <c r="H982" s="23"/>
      <c r="I982" s="24">
        <f>MIN($I983:$I985)</f>
        <v>46373</v>
      </c>
      <c r="J982" s="24">
        <f>MAX($J983:$J985)</f>
        <v>46388</v>
      </c>
    </row>
    <row r="983" spans="1:10" x14ac:dyDescent="0.25">
      <c r="A983" s="25" t="s">
        <v>12</v>
      </c>
      <c r="B983" s="25" t="s">
        <v>811</v>
      </c>
      <c r="C983" s="25" t="s">
        <v>50</v>
      </c>
      <c r="D983" s="25" t="s">
        <v>51</v>
      </c>
      <c r="E983" s="26">
        <v>1</v>
      </c>
      <c r="F983" s="25" t="s">
        <v>78</v>
      </c>
      <c r="G983" s="27">
        <f>$H$979</f>
        <v>255</v>
      </c>
      <c r="H983" s="27">
        <f>$G983+$E983</f>
        <v>256</v>
      </c>
      <c r="I983" s="28">
        <f>WORKDAY(Settings!$D$13,INT($G983/HoursPerDay)+1,Holidays)</f>
        <v>46387</v>
      </c>
      <c r="J983" s="28">
        <f>IF($E983=0,$I983,WORKDAY(Settings!$D$13,ROUNDUP($H983/HoursPerDay,0),Holidays))</f>
        <v>46387</v>
      </c>
    </row>
    <row r="984" spans="1:10" x14ac:dyDescent="0.25">
      <c r="A984" s="25" t="s">
        <v>12</v>
      </c>
      <c r="B984" s="25" t="s">
        <v>812</v>
      </c>
      <c r="C984" s="25" t="s">
        <v>54</v>
      </c>
      <c r="D984" s="25" t="s">
        <v>51</v>
      </c>
      <c r="E984" s="26">
        <v>1</v>
      </c>
      <c r="F984" s="25" t="s">
        <v>52</v>
      </c>
      <c r="G984" s="27">
        <f>$H$980</f>
        <v>193</v>
      </c>
      <c r="H984" s="27">
        <f>$G984+$E984</f>
        <v>194</v>
      </c>
      <c r="I984" s="28">
        <f>WORKDAY(Settings!$D$13,INT($G984/HoursPerDay)+1,Holidays)</f>
        <v>46373</v>
      </c>
      <c r="J984" s="28">
        <f>IF($E984=0,$I984,WORKDAY(Settings!$D$13,ROUNDUP($H984/HoursPerDay,0),Holidays))</f>
        <v>46373</v>
      </c>
    </row>
    <row r="985" spans="1:10" x14ac:dyDescent="0.25">
      <c r="A985" s="25" t="s">
        <v>12</v>
      </c>
      <c r="B985" s="25" t="s">
        <v>813</v>
      </c>
      <c r="C985" s="25" t="s">
        <v>56</v>
      </c>
      <c r="D985" s="25" t="s">
        <v>51</v>
      </c>
      <c r="E985" s="26">
        <v>1</v>
      </c>
      <c r="F985" s="25" t="s">
        <v>57</v>
      </c>
      <c r="G985" s="27">
        <f>$H$981</f>
        <v>261</v>
      </c>
      <c r="H985" s="27">
        <f>$G985+$E985</f>
        <v>262</v>
      </c>
      <c r="I985" s="28">
        <f>WORKDAY(Settings!$D$13,INT($G985/HoursPerDay)+1,Holidays)</f>
        <v>46388</v>
      </c>
      <c r="J985" s="28">
        <f>IF($E985=0,$I985,WORKDAY(Settings!$D$13,ROUNDUP($H985/HoursPerDay,0),Holidays))</f>
        <v>46388</v>
      </c>
    </row>
    <row r="986" spans="1:10" x14ac:dyDescent="0.25">
      <c r="A986" s="22" t="s">
        <v>12</v>
      </c>
      <c r="B986" s="22" t="s">
        <v>814</v>
      </c>
      <c r="C986" s="22" t="s">
        <v>815</v>
      </c>
      <c r="D986" s="22" t="s">
        <v>48</v>
      </c>
      <c r="E986" s="23">
        <f>SUMIF($D987:$D989,"Task",$E987:$E989)</f>
        <v>3</v>
      </c>
      <c r="F986" s="22"/>
      <c r="G986" s="23"/>
      <c r="H986" s="23"/>
      <c r="I986" s="24">
        <f>MIN($I987:$I989)</f>
        <v>46373</v>
      </c>
      <c r="J986" s="24">
        <f>MAX($J987:$J989)</f>
        <v>46388</v>
      </c>
    </row>
    <row r="987" spans="1:10" x14ac:dyDescent="0.25">
      <c r="A987" s="25" t="s">
        <v>12</v>
      </c>
      <c r="B987" s="25" t="s">
        <v>816</v>
      </c>
      <c r="C987" s="25" t="s">
        <v>50</v>
      </c>
      <c r="D987" s="25" t="s">
        <v>51</v>
      </c>
      <c r="E987" s="26">
        <v>1</v>
      </c>
      <c r="F987" s="25" t="s">
        <v>78</v>
      </c>
      <c r="G987" s="27">
        <f>$H$983</f>
        <v>256</v>
      </c>
      <c r="H987" s="27">
        <f>$G987+$E987</f>
        <v>257</v>
      </c>
      <c r="I987" s="28">
        <f>WORKDAY(Settings!$D$13,INT($G987/HoursPerDay)+1,Holidays)</f>
        <v>46387</v>
      </c>
      <c r="J987" s="28">
        <f>IF($E987=0,$I987,WORKDAY(Settings!$D$13,ROUNDUP($H987/HoursPerDay,0),Holidays))</f>
        <v>46387</v>
      </c>
    </row>
    <row r="988" spans="1:10" x14ac:dyDescent="0.25">
      <c r="A988" s="25" t="s">
        <v>12</v>
      </c>
      <c r="B988" s="25" t="s">
        <v>817</v>
      </c>
      <c r="C988" s="25" t="s">
        <v>54</v>
      </c>
      <c r="D988" s="25" t="s">
        <v>51</v>
      </c>
      <c r="E988" s="26">
        <v>1</v>
      </c>
      <c r="F988" s="25" t="s">
        <v>52</v>
      </c>
      <c r="G988" s="27">
        <f>$H$984</f>
        <v>194</v>
      </c>
      <c r="H988" s="27">
        <f>$G988+$E988</f>
        <v>195</v>
      </c>
      <c r="I988" s="28">
        <f>WORKDAY(Settings!$D$13,INT($G988/HoursPerDay)+1,Holidays)</f>
        <v>46373</v>
      </c>
      <c r="J988" s="28">
        <f>IF($E988=0,$I988,WORKDAY(Settings!$D$13,ROUNDUP($H988/HoursPerDay,0),Holidays))</f>
        <v>46373</v>
      </c>
    </row>
    <row r="989" spans="1:10" x14ac:dyDescent="0.25">
      <c r="A989" s="25" t="s">
        <v>12</v>
      </c>
      <c r="B989" s="25" t="s">
        <v>818</v>
      </c>
      <c r="C989" s="25" t="s">
        <v>56</v>
      </c>
      <c r="D989" s="25" t="s">
        <v>51</v>
      </c>
      <c r="E989" s="26">
        <v>1</v>
      </c>
      <c r="F989" s="25" t="s">
        <v>57</v>
      </c>
      <c r="G989" s="27">
        <f>$H$985</f>
        <v>262</v>
      </c>
      <c r="H989" s="27">
        <f>$G989+$E989</f>
        <v>263</v>
      </c>
      <c r="I989" s="28">
        <f>WORKDAY(Settings!$D$13,INT($G989/HoursPerDay)+1,Holidays)</f>
        <v>46388</v>
      </c>
      <c r="J989" s="28">
        <f>IF($E989=0,$I989,WORKDAY(Settings!$D$13,ROUNDUP($H989/HoursPerDay,0),Holidays))</f>
        <v>46388</v>
      </c>
    </row>
    <row r="990" spans="1:10" x14ac:dyDescent="0.25">
      <c r="A990" s="22" t="s">
        <v>12</v>
      </c>
      <c r="B990" s="22" t="s">
        <v>819</v>
      </c>
      <c r="C990" s="22" t="s">
        <v>820</v>
      </c>
      <c r="D990" s="22" t="s">
        <v>48</v>
      </c>
      <c r="E990" s="23">
        <f>SUMIF($D991:$D993,"Task",$E991:$E993)</f>
        <v>3</v>
      </c>
      <c r="F990" s="22"/>
      <c r="G990" s="23"/>
      <c r="H990" s="23"/>
      <c r="I990" s="24">
        <f>MIN($I991:$I993)</f>
        <v>46373</v>
      </c>
      <c r="J990" s="24">
        <f>MAX($J991:$J993)</f>
        <v>46388</v>
      </c>
    </row>
    <row r="991" spans="1:10" x14ac:dyDescent="0.25">
      <c r="A991" s="25" t="s">
        <v>12</v>
      </c>
      <c r="B991" s="25" t="s">
        <v>821</v>
      </c>
      <c r="C991" s="25" t="s">
        <v>50</v>
      </c>
      <c r="D991" s="25" t="s">
        <v>51</v>
      </c>
      <c r="E991" s="26">
        <v>1</v>
      </c>
      <c r="F991" s="25" t="s">
        <v>78</v>
      </c>
      <c r="G991" s="27">
        <f>$H$987</f>
        <v>257</v>
      </c>
      <c r="H991" s="27">
        <f>$G991+$E991</f>
        <v>258</v>
      </c>
      <c r="I991" s="28">
        <f>WORKDAY(Settings!$D$13,INT($G991/HoursPerDay)+1,Holidays)</f>
        <v>46387</v>
      </c>
      <c r="J991" s="28">
        <f>IF($E991=0,$I991,WORKDAY(Settings!$D$13,ROUNDUP($H991/HoursPerDay,0),Holidays))</f>
        <v>46387</v>
      </c>
    </row>
    <row r="992" spans="1:10" x14ac:dyDescent="0.25">
      <c r="A992" s="25" t="s">
        <v>12</v>
      </c>
      <c r="B992" s="25" t="s">
        <v>822</v>
      </c>
      <c r="C992" s="25" t="s">
        <v>54</v>
      </c>
      <c r="D992" s="25" t="s">
        <v>51</v>
      </c>
      <c r="E992" s="26">
        <v>1</v>
      </c>
      <c r="F992" s="25" t="s">
        <v>52</v>
      </c>
      <c r="G992" s="27">
        <f>$H$988</f>
        <v>195</v>
      </c>
      <c r="H992" s="27">
        <f>$G992+$E992</f>
        <v>196</v>
      </c>
      <c r="I992" s="28">
        <f>WORKDAY(Settings!$D$13,INT($G992/HoursPerDay)+1,Holidays)</f>
        <v>46373</v>
      </c>
      <c r="J992" s="28">
        <f>IF($E992=0,$I992,WORKDAY(Settings!$D$13,ROUNDUP($H992/HoursPerDay,0),Holidays))</f>
        <v>46373</v>
      </c>
    </row>
    <row r="993" spans="1:10" x14ac:dyDescent="0.25">
      <c r="A993" s="25" t="s">
        <v>12</v>
      </c>
      <c r="B993" s="25" t="s">
        <v>823</v>
      </c>
      <c r="C993" s="25" t="s">
        <v>56</v>
      </c>
      <c r="D993" s="25" t="s">
        <v>51</v>
      </c>
      <c r="E993" s="26">
        <v>1</v>
      </c>
      <c r="F993" s="25" t="s">
        <v>57</v>
      </c>
      <c r="G993" s="27">
        <f>$H$989</f>
        <v>263</v>
      </c>
      <c r="H993" s="27">
        <f>$G993+$E993</f>
        <v>264</v>
      </c>
      <c r="I993" s="28">
        <f>WORKDAY(Settings!$D$13,INT($G993/HoursPerDay)+1,Holidays)</f>
        <v>46388</v>
      </c>
      <c r="J993" s="28">
        <f>IF($E993=0,$I993,WORKDAY(Settings!$D$13,ROUNDUP($H993/HoursPerDay,0),Holidays))</f>
        <v>46388</v>
      </c>
    </row>
    <row r="994" spans="1:10" x14ac:dyDescent="0.25">
      <c r="A994" s="22" t="s">
        <v>12</v>
      </c>
      <c r="B994" s="22" t="s">
        <v>824</v>
      </c>
      <c r="C994" s="22" t="s">
        <v>825</v>
      </c>
      <c r="D994" s="22" t="s">
        <v>48</v>
      </c>
      <c r="E994" s="23">
        <f>SUMIF($D995:$D997,"Task",$E995:$E997)</f>
        <v>3</v>
      </c>
      <c r="F994" s="22"/>
      <c r="G994" s="23"/>
      <c r="H994" s="23"/>
      <c r="I994" s="24">
        <f>MIN($I995:$I997)</f>
        <v>46374</v>
      </c>
      <c r="J994" s="24">
        <f>MAX($J995:$J997)</f>
        <v>46388</v>
      </c>
    </row>
    <row r="995" spans="1:10" x14ac:dyDescent="0.25">
      <c r="A995" s="25" t="s">
        <v>12</v>
      </c>
      <c r="B995" s="25" t="s">
        <v>826</v>
      </c>
      <c r="C995" s="25" t="s">
        <v>50</v>
      </c>
      <c r="D995" s="25" t="s">
        <v>51</v>
      </c>
      <c r="E995" s="26">
        <v>1</v>
      </c>
      <c r="F995" s="25" t="s">
        <v>78</v>
      </c>
      <c r="G995" s="27">
        <f>$H$991</f>
        <v>258</v>
      </c>
      <c r="H995" s="27">
        <f>$G995+$E995</f>
        <v>259</v>
      </c>
      <c r="I995" s="28">
        <f>WORKDAY(Settings!$D$13,INT($G995/HoursPerDay)+1,Holidays)</f>
        <v>46387</v>
      </c>
      <c r="J995" s="28">
        <f>IF($E995=0,$I995,WORKDAY(Settings!$D$13,ROUNDUP($H995/HoursPerDay,0),Holidays))</f>
        <v>46387</v>
      </c>
    </row>
    <row r="996" spans="1:10" x14ac:dyDescent="0.25">
      <c r="A996" s="25" t="s">
        <v>12</v>
      </c>
      <c r="B996" s="25" t="s">
        <v>827</v>
      </c>
      <c r="C996" s="25" t="s">
        <v>54</v>
      </c>
      <c r="D996" s="25" t="s">
        <v>51</v>
      </c>
      <c r="E996" s="26">
        <v>1</v>
      </c>
      <c r="F996" s="25" t="s">
        <v>52</v>
      </c>
      <c r="G996" s="27">
        <f>$H$992</f>
        <v>196</v>
      </c>
      <c r="H996" s="27">
        <f>$G996+$E996</f>
        <v>197</v>
      </c>
      <c r="I996" s="28">
        <f>WORKDAY(Settings!$D$13,INT($G996/HoursPerDay)+1,Holidays)</f>
        <v>46374</v>
      </c>
      <c r="J996" s="28">
        <f>IF($E996=0,$I996,WORKDAY(Settings!$D$13,ROUNDUP($H996/HoursPerDay,0),Holidays))</f>
        <v>46374</v>
      </c>
    </row>
    <row r="997" spans="1:10" x14ac:dyDescent="0.25">
      <c r="A997" s="25" t="s">
        <v>12</v>
      </c>
      <c r="B997" s="25" t="s">
        <v>828</v>
      </c>
      <c r="C997" s="25" t="s">
        <v>56</v>
      </c>
      <c r="D997" s="25" t="s">
        <v>51</v>
      </c>
      <c r="E997" s="26">
        <v>1</v>
      </c>
      <c r="F997" s="25" t="s">
        <v>57</v>
      </c>
      <c r="G997" s="27">
        <f>$H$993</f>
        <v>264</v>
      </c>
      <c r="H997" s="27">
        <f>$G997+$E997</f>
        <v>265</v>
      </c>
      <c r="I997" s="28">
        <f>WORKDAY(Settings!$D$13,INT($G997/HoursPerDay)+1,Holidays)</f>
        <v>46388</v>
      </c>
      <c r="J997" s="28">
        <f>IF($E997=0,$I997,WORKDAY(Settings!$D$13,ROUNDUP($H997/HoursPerDay,0),Holidays))</f>
        <v>46388</v>
      </c>
    </row>
    <row r="998" spans="1:10" x14ac:dyDescent="0.25">
      <c r="A998" s="22" t="s">
        <v>12</v>
      </c>
      <c r="B998" s="22" t="s">
        <v>829</v>
      </c>
      <c r="C998" s="22" t="s">
        <v>830</v>
      </c>
      <c r="D998" s="22" t="s">
        <v>48</v>
      </c>
      <c r="E998" s="23">
        <f>SUMIF($D999:$D1001,"Task",$E999:$E1001)</f>
        <v>3</v>
      </c>
      <c r="F998" s="22"/>
      <c r="G998" s="23"/>
      <c r="H998" s="23"/>
      <c r="I998" s="24">
        <f>MIN($I999:$I1001)</f>
        <v>46374</v>
      </c>
      <c r="J998" s="24">
        <f>MAX($J999:$J1001)</f>
        <v>46388</v>
      </c>
    </row>
    <row r="999" spans="1:10" x14ac:dyDescent="0.25">
      <c r="A999" s="25" t="s">
        <v>12</v>
      </c>
      <c r="B999" s="25" t="s">
        <v>831</v>
      </c>
      <c r="C999" s="25" t="s">
        <v>50</v>
      </c>
      <c r="D999" s="25" t="s">
        <v>51</v>
      </c>
      <c r="E999" s="26">
        <v>1</v>
      </c>
      <c r="F999" s="25" t="s">
        <v>78</v>
      </c>
      <c r="G999" s="27">
        <f>$H$995</f>
        <v>259</v>
      </c>
      <c r="H999" s="27">
        <f>$G999+$E999</f>
        <v>260</v>
      </c>
      <c r="I999" s="28">
        <f>WORKDAY(Settings!$D$13,INT($G999/HoursPerDay)+1,Holidays)</f>
        <v>46388</v>
      </c>
      <c r="J999" s="28">
        <f>IF($E999=0,$I999,WORKDAY(Settings!$D$13,ROUNDUP($H999/HoursPerDay,0),Holidays))</f>
        <v>46388</v>
      </c>
    </row>
    <row r="1000" spans="1:10" x14ac:dyDescent="0.25">
      <c r="A1000" s="25" t="s">
        <v>12</v>
      </c>
      <c r="B1000" s="25" t="s">
        <v>832</v>
      </c>
      <c r="C1000" s="25" t="s">
        <v>54</v>
      </c>
      <c r="D1000" s="25" t="s">
        <v>51</v>
      </c>
      <c r="E1000" s="26">
        <v>1</v>
      </c>
      <c r="F1000" s="25" t="s">
        <v>52</v>
      </c>
      <c r="G1000" s="27">
        <f>$H$996</f>
        <v>197</v>
      </c>
      <c r="H1000" s="27">
        <f>$G1000+$E1000</f>
        <v>198</v>
      </c>
      <c r="I1000" s="28">
        <f>WORKDAY(Settings!$D$13,INT($G1000/HoursPerDay)+1,Holidays)</f>
        <v>46374</v>
      </c>
      <c r="J1000" s="28">
        <f>IF($E1000=0,$I1000,WORKDAY(Settings!$D$13,ROUNDUP($H1000/HoursPerDay,0),Holidays))</f>
        <v>46374</v>
      </c>
    </row>
    <row r="1001" spans="1:10" x14ac:dyDescent="0.25">
      <c r="A1001" s="25" t="s">
        <v>12</v>
      </c>
      <c r="B1001" s="25" t="s">
        <v>833</v>
      </c>
      <c r="C1001" s="25" t="s">
        <v>56</v>
      </c>
      <c r="D1001" s="25" t="s">
        <v>51</v>
      </c>
      <c r="E1001" s="26">
        <v>1</v>
      </c>
      <c r="F1001" s="25" t="s">
        <v>57</v>
      </c>
      <c r="G1001" s="27">
        <f>$H$997</f>
        <v>265</v>
      </c>
      <c r="H1001" s="27">
        <f>$G1001+$E1001</f>
        <v>266</v>
      </c>
      <c r="I1001" s="28">
        <f>WORKDAY(Settings!$D$13,INT($G1001/HoursPerDay)+1,Holidays)</f>
        <v>46388</v>
      </c>
      <c r="J1001" s="28">
        <f>IF($E1001=0,$I1001,WORKDAY(Settings!$D$13,ROUNDUP($H1001/HoursPerDay,0),Holidays))</f>
        <v>46388</v>
      </c>
    </row>
    <row r="1002" spans="1:10" x14ac:dyDescent="0.25">
      <c r="A1002" s="22" t="s">
        <v>12</v>
      </c>
      <c r="B1002" s="22" t="s">
        <v>834</v>
      </c>
      <c r="C1002" s="22" t="s">
        <v>835</v>
      </c>
      <c r="D1002" s="22" t="s">
        <v>48</v>
      </c>
      <c r="E1002" s="23">
        <f>SUMIF($D1003:$D1005,"Task",$E1003:$E1005)</f>
        <v>3</v>
      </c>
      <c r="F1002" s="22"/>
      <c r="G1002" s="23"/>
      <c r="H1002" s="23"/>
      <c r="I1002" s="24">
        <f>MIN($I1003:$I1005)</f>
        <v>46374</v>
      </c>
      <c r="J1002" s="24">
        <f>MAX($J1003:$J1005)</f>
        <v>46391</v>
      </c>
    </row>
    <row r="1003" spans="1:10" x14ac:dyDescent="0.25">
      <c r="A1003" s="25" t="s">
        <v>12</v>
      </c>
      <c r="B1003" s="25" t="s">
        <v>836</v>
      </c>
      <c r="C1003" s="25" t="s">
        <v>50</v>
      </c>
      <c r="D1003" s="25" t="s">
        <v>51</v>
      </c>
      <c r="E1003" s="26">
        <v>1</v>
      </c>
      <c r="F1003" s="25" t="s">
        <v>78</v>
      </c>
      <c r="G1003" s="27">
        <f>$H$999</f>
        <v>260</v>
      </c>
      <c r="H1003" s="27">
        <f>$G1003+$E1003</f>
        <v>261</v>
      </c>
      <c r="I1003" s="28">
        <f>WORKDAY(Settings!$D$13,INT($G1003/HoursPerDay)+1,Holidays)</f>
        <v>46388</v>
      </c>
      <c r="J1003" s="28">
        <f>IF($E1003=0,$I1003,WORKDAY(Settings!$D$13,ROUNDUP($H1003/HoursPerDay,0),Holidays))</f>
        <v>46388</v>
      </c>
    </row>
    <row r="1004" spans="1:10" x14ac:dyDescent="0.25">
      <c r="A1004" s="25" t="s">
        <v>12</v>
      </c>
      <c r="B1004" s="25" t="s">
        <v>837</v>
      </c>
      <c r="C1004" s="25" t="s">
        <v>54</v>
      </c>
      <c r="D1004" s="25" t="s">
        <v>51</v>
      </c>
      <c r="E1004" s="26">
        <v>1</v>
      </c>
      <c r="F1004" s="25" t="s">
        <v>52</v>
      </c>
      <c r="G1004" s="27">
        <f>$H$1000</f>
        <v>198</v>
      </c>
      <c r="H1004" s="27">
        <f>$G1004+$E1004</f>
        <v>199</v>
      </c>
      <c r="I1004" s="28">
        <f>WORKDAY(Settings!$D$13,INT($G1004/HoursPerDay)+1,Holidays)</f>
        <v>46374</v>
      </c>
      <c r="J1004" s="28">
        <f>IF($E1004=0,$I1004,WORKDAY(Settings!$D$13,ROUNDUP($H1004/HoursPerDay,0),Holidays))</f>
        <v>46374</v>
      </c>
    </row>
    <row r="1005" spans="1:10" x14ac:dyDescent="0.25">
      <c r="A1005" s="25" t="s">
        <v>12</v>
      </c>
      <c r="B1005" s="25" t="s">
        <v>838</v>
      </c>
      <c r="C1005" s="25" t="s">
        <v>56</v>
      </c>
      <c r="D1005" s="25" t="s">
        <v>51</v>
      </c>
      <c r="E1005" s="26">
        <v>1</v>
      </c>
      <c r="F1005" s="25" t="s">
        <v>57</v>
      </c>
      <c r="G1005" s="27">
        <f>$H$1001</f>
        <v>266</v>
      </c>
      <c r="H1005" s="27">
        <f>$G1005+$E1005</f>
        <v>267</v>
      </c>
      <c r="I1005" s="28">
        <f>WORKDAY(Settings!$D$13,INT($G1005/HoursPerDay)+1,Holidays)</f>
        <v>46391</v>
      </c>
      <c r="J1005" s="28">
        <f>IF($E1005=0,$I1005,WORKDAY(Settings!$D$13,ROUNDUP($H1005/HoursPerDay,0),Holidays))</f>
        <v>46391</v>
      </c>
    </row>
    <row r="1006" spans="1:10" x14ac:dyDescent="0.25">
      <c r="A1006" s="22" t="s">
        <v>12</v>
      </c>
      <c r="B1006" s="22" t="s">
        <v>839</v>
      </c>
      <c r="C1006" s="22" t="s">
        <v>840</v>
      </c>
      <c r="D1006" s="22" t="s">
        <v>48</v>
      </c>
      <c r="E1006" s="23">
        <f>SUMIF($D1007:$D1009,"Task",$E1007:$E1009)</f>
        <v>3</v>
      </c>
      <c r="F1006" s="22"/>
      <c r="G1006" s="23"/>
      <c r="H1006" s="23"/>
      <c r="I1006" s="24">
        <f>MIN($I1007:$I1009)</f>
        <v>46374</v>
      </c>
      <c r="J1006" s="24">
        <f>MAX($J1007:$J1009)</f>
        <v>46391</v>
      </c>
    </row>
    <row r="1007" spans="1:10" x14ac:dyDescent="0.25">
      <c r="A1007" s="25" t="s">
        <v>12</v>
      </c>
      <c r="B1007" s="25" t="s">
        <v>841</v>
      </c>
      <c r="C1007" s="25" t="s">
        <v>50</v>
      </c>
      <c r="D1007" s="25" t="s">
        <v>51</v>
      </c>
      <c r="E1007" s="26">
        <v>1</v>
      </c>
      <c r="F1007" s="25" t="s">
        <v>78</v>
      </c>
      <c r="G1007" s="27">
        <f>$H$1003</f>
        <v>261</v>
      </c>
      <c r="H1007" s="27">
        <f>$G1007+$E1007</f>
        <v>262</v>
      </c>
      <c r="I1007" s="28">
        <f>WORKDAY(Settings!$D$13,INT($G1007/HoursPerDay)+1,Holidays)</f>
        <v>46388</v>
      </c>
      <c r="J1007" s="28">
        <f>IF($E1007=0,$I1007,WORKDAY(Settings!$D$13,ROUNDUP($H1007/HoursPerDay,0),Holidays))</f>
        <v>46388</v>
      </c>
    </row>
    <row r="1008" spans="1:10" x14ac:dyDescent="0.25">
      <c r="A1008" s="25" t="s">
        <v>12</v>
      </c>
      <c r="B1008" s="25" t="s">
        <v>842</v>
      </c>
      <c r="C1008" s="25" t="s">
        <v>54</v>
      </c>
      <c r="D1008" s="25" t="s">
        <v>51</v>
      </c>
      <c r="E1008" s="26">
        <v>1</v>
      </c>
      <c r="F1008" s="25" t="s">
        <v>52</v>
      </c>
      <c r="G1008" s="27">
        <f>$H$1004</f>
        <v>199</v>
      </c>
      <c r="H1008" s="27">
        <f>$G1008+$E1008</f>
        <v>200</v>
      </c>
      <c r="I1008" s="28">
        <f>WORKDAY(Settings!$D$13,INT($G1008/HoursPerDay)+1,Holidays)</f>
        <v>46374</v>
      </c>
      <c r="J1008" s="28">
        <f>IF($E1008=0,$I1008,WORKDAY(Settings!$D$13,ROUNDUP($H1008/HoursPerDay,0),Holidays))</f>
        <v>46374</v>
      </c>
    </row>
    <row r="1009" spans="1:10" x14ac:dyDescent="0.25">
      <c r="A1009" s="25" t="s">
        <v>12</v>
      </c>
      <c r="B1009" s="25" t="s">
        <v>843</v>
      </c>
      <c r="C1009" s="25" t="s">
        <v>56</v>
      </c>
      <c r="D1009" s="25" t="s">
        <v>51</v>
      </c>
      <c r="E1009" s="26">
        <v>1</v>
      </c>
      <c r="F1009" s="25" t="s">
        <v>57</v>
      </c>
      <c r="G1009" s="27">
        <f>$H$1005</f>
        <v>267</v>
      </c>
      <c r="H1009" s="27">
        <f>$G1009+$E1009</f>
        <v>268</v>
      </c>
      <c r="I1009" s="28">
        <f>WORKDAY(Settings!$D$13,INT($G1009/HoursPerDay)+1,Holidays)</f>
        <v>46391</v>
      </c>
      <c r="J1009" s="28">
        <f>IF($E1009=0,$I1009,WORKDAY(Settings!$D$13,ROUNDUP($H1009/HoursPerDay,0),Holidays))</f>
        <v>46391</v>
      </c>
    </row>
    <row r="1010" spans="1:10" x14ac:dyDescent="0.25">
      <c r="A1010" s="16" t="s">
        <v>13</v>
      </c>
      <c r="B1010" s="16" t="s">
        <v>40</v>
      </c>
      <c r="C1010" s="16" t="s">
        <v>844</v>
      </c>
      <c r="D1010" s="16" t="s">
        <v>42</v>
      </c>
      <c r="E1010" s="17">
        <f>SUMIF($D1011:$D1237,"Task",$E1011:$E1237)</f>
        <v>286</v>
      </c>
      <c r="F1010" s="16"/>
      <c r="G1010" s="17"/>
      <c r="H1010" s="17"/>
      <c r="I1010" s="18">
        <f>MIN($I1011:$I1237)</f>
        <v>46401</v>
      </c>
      <c r="J1010" s="18">
        <f>MAX($J1011:$J1237)</f>
        <v>46415</v>
      </c>
    </row>
    <row r="1011" spans="1:10" x14ac:dyDescent="0.25">
      <c r="A1011" s="19" t="s">
        <v>13</v>
      </c>
      <c r="B1011" s="19" t="s">
        <v>43</v>
      </c>
      <c r="C1011" s="19" t="s">
        <v>845</v>
      </c>
      <c r="D1011" s="19" t="s">
        <v>45</v>
      </c>
      <c r="E1011" s="20">
        <f>SUMIF($D1012:$D1027,"Task",$E1012:$E1027)</f>
        <v>18</v>
      </c>
      <c r="F1011" s="19"/>
      <c r="G1011" s="20"/>
      <c r="H1011" s="20"/>
      <c r="I1011" s="21">
        <f>MIN($I1012:$I1027)</f>
        <v>46401</v>
      </c>
      <c r="J1011" s="21">
        <f>MAX($J1012:$J1027)</f>
        <v>46402</v>
      </c>
    </row>
    <row r="1012" spans="1:10" x14ac:dyDescent="0.25">
      <c r="A1012" s="22" t="s">
        <v>13</v>
      </c>
      <c r="B1012" s="22" t="s">
        <v>46</v>
      </c>
      <c r="C1012" s="22" t="s">
        <v>846</v>
      </c>
      <c r="D1012" s="22" t="s">
        <v>48</v>
      </c>
      <c r="E1012" s="23">
        <f>SUMIF($D1013:$D1015,"Task",$E1013:$E1015)</f>
        <v>6</v>
      </c>
      <c r="F1012" s="22"/>
      <c r="G1012" s="23"/>
      <c r="H1012" s="23"/>
      <c r="I1012" s="24">
        <f>MIN($I1013:$I1015)</f>
        <v>46401</v>
      </c>
      <c r="J1012" s="24">
        <f>MAX($J1013:$J1015)</f>
        <v>46401</v>
      </c>
    </row>
    <row r="1013" spans="1:10" x14ac:dyDescent="0.25">
      <c r="A1013" s="25" t="s">
        <v>13</v>
      </c>
      <c r="B1013" s="25" t="s">
        <v>49</v>
      </c>
      <c r="C1013" s="25" t="s">
        <v>50</v>
      </c>
      <c r="D1013" s="25" t="s">
        <v>51</v>
      </c>
      <c r="E1013" s="26">
        <v>2</v>
      </c>
      <c r="F1013" s="25" t="s">
        <v>561</v>
      </c>
      <c r="G1013" s="27">
        <f>0</f>
        <v>0</v>
      </c>
      <c r="H1013" s="27">
        <f>$G1013+$E1013</f>
        <v>2</v>
      </c>
      <c r="I1013" s="28">
        <f>WORKDAY(Settings!$D$14,INT($G1013/HoursPerDay)+1,Holidays)</f>
        <v>46401</v>
      </c>
      <c r="J1013" s="28">
        <f>IF($E1013=0,$I1013,WORKDAY(Settings!$D$14,ROUNDUP($H1013/HoursPerDay,0),Holidays))</f>
        <v>46401</v>
      </c>
    </row>
    <row r="1014" spans="1:10" x14ac:dyDescent="0.25">
      <c r="A1014" s="25" t="s">
        <v>13</v>
      </c>
      <c r="B1014" s="25" t="s">
        <v>53</v>
      </c>
      <c r="C1014" s="25" t="s">
        <v>54</v>
      </c>
      <c r="D1014" s="25" t="s">
        <v>51</v>
      </c>
      <c r="E1014" s="26">
        <v>4</v>
      </c>
      <c r="F1014" s="25" t="s">
        <v>52</v>
      </c>
      <c r="G1014" s="27">
        <f>0</f>
        <v>0</v>
      </c>
      <c r="H1014" s="27">
        <f>$G1014+$E1014</f>
        <v>4</v>
      </c>
      <c r="I1014" s="28">
        <f>WORKDAY(Settings!$D$14,INT($G1014/HoursPerDay)+1,Holidays)</f>
        <v>46401</v>
      </c>
      <c r="J1014" s="28">
        <f>IF($E1014=0,$I1014,WORKDAY(Settings!$D$14,ROUNDUP($H1014/HoursPerDay,0),Holidays))</f>
        <v>46401</v>
      </c>
    </row>
    <row r="1015" spans="1:10" x14ac:dyDescent="0.25">
      <c r="A1015" s="25" t="s">
        <v>13</v>
      </c>
      <c r="B1015" s="25" t="s">
        <v>55</v>
      </c>
      <c r="C1015" s="25" t="s">
        <v>56</v>
      </c>
      <c r="D1015" s="25" t="s">
        <v>51</v>
      </c>
      <c r="E1015" s="26">
        <v>0</v>
      </c>
      <c r="F1015" s="25" t="s">
        <v>57</v>
      </c>
      <c r="G1015" s="27">
        <f>0</f>
        <v>0</v>
      </c>
      <c r="H1015" s="27">
        <f>$G1015+$E1015</f>
        <v>0</v>
      </c>
      <c r="I1015" s="28">
        <f>WORKDAY(Settings!$D$14,INT($G1015/HoursPerDay)+1,Holidays)</f>
        <v>46401</v>
      </c>
      <c r="J1015" s="28">
        <f>IF($E1015=0,$I1015,WORKDAY(Settings!$D$14,ROUNDUP($H1015/HoursPerDay,0),Holidays))</f>
        <v>46401</v>
      </c>
    </row>
    <row r="1016" spans="1:10" x14ac:dyDescent="0.25">
      <c r="A1016" s="22" t="s">
        <v>13</v>
      </c>
      <c r="B1016" s="22" t="s">
        <v>61</v>
      </c>
      <c r="C1016" s="22" t="s">
        <v>847</v>
      </c>
      <c r="D1016" s="22" t="s">
        <v>48</v>
      </c>
      <c r="E1016" s="23">
        <f>SUMIF($D1017:$D1019,"Task",$E1017:$E1019)</f>
        <v>5</v>
      </c>
      <c r="F1016" s="22"/>
      <c r="G1016" s="23"/>
      <c r="H1016" s="23"/>
      <c r="I1016" s="24">
        <f>MIN($I1017:$I1019)</f>
        <v>46401</v>
      </c>
      <c r="J1016" s="24">
        <f>MAX($J1017:$J1019)</f>
        <v>46401</v>
      </c>
    </row>
    <row r="1017" spans="1:10" x14ac:dyDescent="0.25">
      <c r="A1017" s="25" t="s">
        <v>13</v>
      </c>
      <c r="B1017" s="25" t="s">
        <v>63</v>
      </c>
      <c r="C1017" s="25" t="s">
        <v>50</v>
      </c>
      <c r="D1017" s="25" t="s">
        <v>51</v>
      </c>
      <c r="E1017" s="26">
        <v>1</v>
      </c>
      <c r="F1017" s="25" t="s">
        <v>561</v>
      </c>
      <c r="G1017" s="27">
        <f>$H$1013</f>
        <v>2</v>
      </c>
      <c r="H1017" s="27">
        <f>$G1017+$E1017</f>
        <v>3</v>
      </c>
      <c r="I1017" s="28">
        <f>WORKDAY(Settings!$D$14,INT($G1017/HoursPerDay)+1,Holidays)</f>
        <v>46401</v>
      </c>
      <c r="J1017" s="28">
        <f>IF($E1017=0,$I1017,WORKDAY(Settings!$D$14,ROUNDUP($H1017/HoursPerDay,0),Holidays))</f>
        <v>46401</v>
      </c>
    </row>
    <row r="1018" spans="1:10" x14ac:dyDescent="0.25">
      <c r="A1018" s="25" t="s">
        <v>13</v>
      </c>
      <c r="B1018" s="25" t="s">
        <v>64</v>
      </c>
      <c r="C1018" s="25" t="s">
        <v>54</v>
      </c>
      <c r="D1018" s="25" t="s">
        <v>51</v>
      </c>
      <c r="E1018" s="26">
        <v>2</v>
      </c>
      <c r="F1018" s="25" t="s">
        <v>52</v>
      </c>
      <c r="G1018" s="27">
        <f>$H$1014</f>
        <v>4</v>
      </c>
      <c r="H1018" s="27">
        <f>$G1018+$E1018</f>
        <v>6</v>
      </c>
      <c r="I1018" s="28">
        <f>WORKDAY(Settings!$D$14,INT($G1018/HoursPerDay)+1,Holidays)</f>
        <v>46401</v>
      </c>
      <c r="J1018" s="28">
        <f>IF($E1018=0,$I1018,WORKDAY(Settings!$D$14,ROUNDUP($H1018/HoursPerDay,0),Holidays))</f>
        <v>46401</v>
      </c>
    </row>
    <row r="1019" spans="1:10" x14ac:dyDescent="0.25">
      <c r="A1019" s="25" t="s">
        <v>13</v>
      </c>
      <c r="B1019" s="25" t="s">
        <v>65</v>
      </c>
      <c r="C1019" s="25" t="s">
        <v>56</v>
      </c>
      <c r="D1019" s="25" t="s">
        <v>51</v>
      </c>
      <c r="E1019" s="26">
        <v>2</v>
      </c>
      <c r="F1019" s="25" t="s">
        <v>57</v>
      </c>
      <c r="G1019" s="27">
        <f>$H$1015</f>
        <v>0</v>
      </c>
      <c r="H1019" s="27">
        <f>$G1019+$E1019</f>
        <v>2</v>
      </c>
      <c r="I1019" s="28">
        <f>WORKDAY(Settings!$D$14,INT($G1019/HoursPerDay)+1,Holidays)</f>
        <v>46401</v>
      </c>
      <c r="J1019" s="28">
        <f>IF($E1019=0,$I1019,WORKDAY(Settings!$D$14,ROUNDUP($H1019/HoursPerDay,0),Holidays))</f>
        <v>46401</v>
      </c>
    </row>
    <row r="1020" spans="1:10" x14ac:dyDescent="0.25">
      <c r="A1020" s="22" t="s">
        <v>13</v>
      </c>
      <c r="B1020" s="22" t="s">
        <v>67</v>
      </c>
      <c r="C1020" s="22" t="s">
        <v>848</v>
      </c>
      <c r="D1020" s="22" t="s">
        <v>48</v>
      </c>
      <c r="E1020" s="23">
        <f>SUMIF($D1021:$D1023,"Task",$E1021:$E1023)</f>
        <v>0</v>
      </c>
      <c r="F1020" s="22"/>
      <c r="G1020" s="23"/>
      <c r="H1020" s="23"/>
      <c r="I1020" s="24">
        <f>MIN($I1021:$I1023)</f>
        <v>46401</v>
      </c>
      <c r="J1020" s="24">
        <f>MAX($J1021:$J1023)</f>
        <v>46401</v>
      </c>
    </row>
    <row r="1021" spans="1:10" x14ac:dyDescent="0.25">
      <c r="A1021" s="25" t="s">
        <v>13</v>
      </c>
      <c r="B1021" s="25" t="s">
        <v>69</v>
      </c>
      <c r="C1021" s="25" t="s">
        <v>50</v>
      </c>
      <c r="D1021" s="25" t="s">
        <v>51</v>
      </c>
      <c r="E1021" s="26">
        <v>0</v>
      </c>
      <c r="F1021" s="25" t="s">
        <v>561</v>
      </c>
      <c r="G1021" s="27">
        <f>$H$1017</f>
        <v>3</v>
      </c>
      <c r="H1021" s="27">
        <f>$G1021+$E1021</f>
        <v>3</v>
      </c>
      <c r="I1021" s="28">
        <f>WORKDAY(Settings!$D$14,INT($G1021/HoursPerDay)+1,Holidays)</f>
        <v>46401</v>
      </c>
      <c r="J1021" s="28">
        <f>IF($E1021=0,$I1021,WORKDAY(Settings!$D$14,ROUNDUP($H1021/HoursPerDay,0),Holidays))</f>
        <v>46401</v>
      </c>
    </row>
    <row r="1022" spans="1:10" x14ac:dyDescent="0.25">
      <c r="A1022" s="25" t="s">
        <v>13</v>
      </c>
      <c r="B1022" s="25" t="s">
        <v>70</v>
      </c>
      <c r="C1022" s="25" t="s">
        <v>54</v>
      </c>
      <c r="D1022" s="25" t="s">
        <v>51</v>
      </c>
      <c r="E1022" s="26">
        <v>0</v>
      </c>
      <c r="F1022" s="25" t="s">
        <v>52</v>
      </c>
      <c r="G1022" s="27">
        <f>$H$1018</f>
        <v>6</v>
      </c>
      <c r="H1022" s="27">
        <f>$G1022+$E1022</f>
        <v>6</v>
      </c>
      <c r="I1022" s="28">
        <f>WORKDAY(Settings!$D$14,INT($G1022/HoursPerDay)+1,Holidays)</f>
        <v>46401</v>
      </c>
      <c r="J1022" s="28">
        <f>IF($E1022=0,$I1022,WORKDAY(Settings!$D$14,ROUNDUP($H1022/HoursPerDay,0),Holidays))</f>
        <v>46401</v>
      </c>
    </row>
    <row r="1023" spans="1:10" x14ac:dyDescent="0.25">
      <c r="A1023" s="25" t="s">
        <v>13</v>
      </c>
      <c r="B1023" s="25" t="s">
        <v>71</v>
      </c>
      <c r="C1023" s="25" t="s">
        <v>56</v>
      </c>
      <c r="D1023" s="25" t="s">
        <v>51</v>
      </c>
      <c r="E1023" s="26">
        <v>0</v>
      </c>
      <c r="F1023" s="25" t="s">
        <v>57</v>
      </c>
      <c r="G1023" s="27">
        <f>$H$1019</f>
        <v>2</v>
      </c>
      <c r="H1023" s="27">
        <f>$G1023+$E1023</f>
        <v>2</v>
      </c>
      <c r="I1023" s="28">
        <f>WORKDAY(Settings!$D$14,INT($G1023/HoursPerDay)+1,Holidays)</f>
        <v>46401</v>
      </c>
      <c r="J1023" s="28">
        <f>IF($E1023=0,$I1023,WORKDAY(Settings!$D$14,ROUNDUP($H1023/HoursPerDay,0),Holidays))</f>
        <v>46401</v>
      </c>
    </row>
    <row r="1024" spans="1:10" x14ac:dyDescent="0.25">
      <c r="A1024" s="22" t="s">
        <v>13</v>
      </c>
      <c r="B1024" s="22" t="s">
        <v>330</v>
      </c>
      <c r="C1024" s="22" t="s">
        <v>849</v>
      </c>
      <c r="D1024" s="22" t="s">
        <v>48</v>
      </c>
      <c r="E1024" s="23">
        <f>SUMIF($D1025:$D1027,"Task",$E1025:$E1027)</f>
        <v>7</v>
      </c>
      <c r="F1024" s="22"/>
      <c r="G1024" s="23"/>
      <c r="H1024" s="23"/>
      <c r="I1024" s="24">
        <f>MIN($I1025:$I1027)</f>
        <v>46401</v>
      </c>
      <c r="J1024" s="24">
        <f>MAX($J1025:$J1027)</f>
        <v>46402</v>
      </c>
    </row>
    <row r="1025" spans="1:10" x14ac:dyDescent="0.25">
      <c r="A1025" s="25" t="s">
        <v>13</v>
      </c>
      <c r="B1025" s="25" t="s">
        <v>332</v>
      </c>
      <c r="C1025" s="25" t="s">
        <v>50</v>
      </c>
      <c r="D1025" s="25" t="s">
        <v>51</v>
      </c>
      <c r="E1025" s="26">
        <v>1</v>
      </c>
      <c r="F1025" s="25" t="s">
        <v>561</v>
      </c>
      <c r="G1025" s="27">
        <f>$H$1021</f>
        <v>3</v>
      </c>
      <c r="H1025" s="27">
        <f>$G1025+$E1025</f>
        <v>4</v>
      </c>
      <c r="I1025" s="28">
        <f>WORKDAY(Settings!$D$14,INT($G1025/HoursPerDay)+1,Holidays)</f>
        <v>46401</v>
      </c>
      <c r="J1025" s="28">
        <f>IF($E1025=0,$I1025,WORKDAY(Settings!$D$14,ROUNDUP($H1025/HoursPerDay,0),Holidays))</f>
        <v>46401</v>
      </c>
    </row>
    <row r="1026" spans="1:10" x14ac:dyDescent="0.25">
      <c r="A1026" s="25" t="s">
        <v>13</v>
      </c>
      <c r="B1026" s="25" t="s">
        <v>333</v>
      </c>
      <c r="C1026" s="25" t="s">
        <v>54</v>
      </c>
      <c r="D1026" s="25" t="s">
        <v>51</v>
      </c>
      <c r="E1026" s="26">
        <v>3</v>
      </c>
      <c r="F1026" s="25" t="s">
        <v>52</v>
      </c>
      <c r="G1026" s="27">
        <f>$H$1022</f>
        <v>6</v>
      </c>
      <c r="H1026" s="27">
        <f>$G1026+$E1026</f>
        <v>9</v>
      </c>
      <c r="I1026" s="28">
        <f>WORKDAY(Settings!$D$14,INT($G1026/HoursPerDay)+1,Holidays)</f>
        <v>46401</v>
      </c>
      <c r="J1026" s="28">
        <f>IF($E1026=0,$I1026,WORKDAY(Settings!$D$14,ROUNDUP($H1026/HoursPerDay,0),Holidays))</f>
        <v>46402</v>
      </c>
    </row>
    <row r="1027" spans="1:10" x14ac:dyDescent="0.25">
      <c r="A1027" s="25" t="s">
        <v>13</v>
      </c>
      <c r="B1027" s="25" t="s">
        <v>334</v>
      </c>
      <c r="C1027" s="25" t="s">
        <v>56</v>
      </c>
      <c r="D1027" s="25" t="s">
        <v>51</v>
      </c>
      <c r="E1027" s="26">
        <v>3</v>
      </c>
      <c r="F1027" s="25" t="s">
        <v>57</v>
      </c>
      <c r="G1027" s="27">
        <f>$H$1023</f>
        <v>2</v>
      </c>
      <c r="H1027" s="27">
        <f>$G1027+$E1027</f>
        <v>5</v>
      </c>
      <c r="I1027" s="28">
        <f>WORKDAY(Settings!$D$14,INT($G1027/HoursPerDay)+1,Holidays)</f>
        <v>46401</v>
      </c>
      <c r="J1027" s="28">
        <f>IF($E1027=0,$I1027,WORKDAY(Settings!$D$14,ROUNDUP($H1027/HoursPerDay,0),Holidays))</f>
        <v>46401</v>
      </c>
    </row>
    <row r="1028" spans="1:10" x14ac:dyDescent="0.25">
      <c r="A1028" s="19" t="s">
        <v>13</v>
      </c>
      <c r="B1028" s="19" t="s">
        <v>73</v>
      </c>
      <c r="C1028" s="19" t="s">
        <v>850</v>
      </c>
      <c r="D1028" s="19" t="s">
        <v>45</v>
      </c>
      <c r="E1028" s="20">
        <f>SUMIF($D1029:$D1068,"Task",$E1029:$E1068)</f>
        <v>53</v>
      </c>
      <c r="F1028" s="19"/>
      <c r="G1028" s="20"/>
      <c r="H1028" s="20"/>
      <c r="I1028" s="21">
        <f>MIN($I1029:$I1068)</f>
        <v>46401</v>
      </c>
      <c r="J1028" s="21">
        <f>MAX($J1029:$J1068)</f>
        <v>46406</v>
      </c>
    </row>
    <row r="1029" spans="1:10" x14ac:dyDescent="0.25">
      <c r="A1029" s="22" t="s">
        <v>13</v>
      </c>
      <c r="B1029" s="22" t="s">
        <v>75</v>
      </c>
      <c r="C1029" s="22" t="s">
        <v>851</v>
      </c>
      <c r="D1029" s="22" t="s">
        <v>48</v>
      </c>
      <c r="E1029" s="23">
        <f>SUMIF($D1030:$D1033,"Task",$E1030:$E1033)</f>
        <v>17</v>
      </c>
      <c r="F1029" s="22"/>
      <c r="G1029" s="23"/>
      <c r="H1029" s="23"/>
      <c r="I1029" s="24">
        <f>MIN($I1030:$I1033)</f>
        <v>46401</v>
      </c>
      <c r="J1029" s="24">
        <f>MAX($J1030:$J1033)</f>
        <v>46402</v>
      </c>
    </row>
    <row r="1030" spans="1:10" x14ac:dyDescent="0.25">
      <c r="A1030" s="25" t="s">
        <v>13</v>
      </c>
      <c r="B1030" s="25" t="s">
        <v>77</v>
      </c>
      <c r="C1030" s="25" t="s">
        <v>50</v>
      </c>
      <c r="D1030" s="25" t="s">
        <v>51</v>
      </c>
      <c r="E1030" s="26">
        <v>4</v>
      </c>
      <c r="F1030" s="25" t="s">
        <v>561</v>
      </c>
      <c r="G1030" s="27">
        <f>$H$1025</f>
        <v>4</v>
      </c>
      <c r="H1030" s="27">
        <f>$G1030+$E1030</f>
        <v>8</v>
      </c>
      <c r="I1030" s="28">
        <f>WORKDAY(Settings!$D$14,INT($G1030/HoursPerDay)+1,Holidays)</f>
        <v>46401</v>
      </c>
      <c r="J1030" s="28">
        <f>IF($E1030=0,$I1030,WORKDAY(Settings!$D$14,ROUNDUP($H1030/HoursPerDay,0),Holidays))</f>
        <v>46402</v>
      </c>
    </row>
    <row r="1031" spans="1:10" x14ac:dyDescent="0.25">
      <c r="A1031" s="25" t="s">
        <v>13</v>
      </c>
      <c r="B1031" s="25" t="s">
        <v>79</v>
      </c>
      <c r="C1031" s="25" t="s">
        <v>54</v>
      </c>
      <c r="D1031" s="25" t="s">
        <v>51</v>
      </c>
      <c r="E1031" s="26">
        <v>5</v>
      </c>
      <c r="F1031" s="25" t="s">
        <v>52</v>
      </c>
      <c r="G1031" s="27">
        <f>$H$1026</f>
        <v>9</v>
      </c>
      <c r="H1031" s="27">
        <f>$G1031+$E1031</f>
        <v>14</v>
      </c>
      <c r="I1031" s="28">
        <f>WORKDAY(Settings!$D$14,INT($G1031/HoursPerDay)+1,Holidays)</f>
        <v>46402</v>
      </c>
      <c r="J1031" s="28">
        <f>IF($E1031=0,$I1031,WORKDAY(Settings!$D$14,ROUNDUP($H1031/HoursPerDay,0),Holidays))</f>
        <v>46402</v>
      </c>
    </row>
    <row r="1032" spans="1:10" x14ac:dyDescent="0.25">
      <c r="A1032" s="25" t="s">
        <v>13</v>
      </c>
      <c r="B1032" s="25" t="s">
        <v>80</v>
      </c>
      <c r="C1032" s="25" t="s">
        <v>56</v>
      </c>
      <c r="D1032" s="25" t="s">
        <v>51</v>
      </c>
      <c r="E1032" s="26">
        <v>4</v>
      </c>
      <c r="F1032" s="25" t="s">
        <v>57</v>
      </c>
      <c r="G1032" s="27">
        <f>$H$1027</f>
        <v>5</v>
      </c>
      <c r="H1032" s="27">
        <f>$G1032+$E1032</f>
        <v>9</v>
      </c>
      <c r="I1032" s="28">
        <f>WORKDAY(Settings!$D$14,INT($G1032/HoursPerDay)+1,Holidays)</f>
        <v>46401</v>
      </c>
      <c r="J1032" s="28">
        <f>IF($E1032=0,$I1032,WORKDAY(Settings!$D$14,ROUNDUP($H1032/HoursPerDay,0),Holidays))</f>
        <v>46402</v>
      </c>
    </row>
    <row r="1033" spans="1:10" x14ac:dyDescent="0.25">
      <c r="A1033" s="25" t="s">
        <v>13</v>
      </c>
      <c r="B1033" s="25" t="s">
        <v>81</v>
      </c>
      <c r="C1033" s="25" t="s">
        <v>59</v>
      </c>
      <c r="D1033" s="25" t="s">
        <v>51</v>
      </c>
      <c r="E1033" s="26">
        <v>4</v>
      </c>
      <c r="F1033" s="25" t="s">
        <v>60</v>
      </c>
      <c r="G1033" s="27">
        <f>0</f>
        <v>0</v>
      </c>
      <c r="H1033" s="27">
        <f>$G1033+$E1033</f>
        <v>4</v>
      </c>
      <c r="I1033" s="28">
        <f>WORKDAY(Settings!$D$14,INT($G1033/HoursPerDay)+1,Holidays)</f>
        <v>46401</v>
      </c>
      <c r="J1033" s="28">
        <f>IF($E1033=0,$I1033,WORKDAY(Settings!$D$14,ROUNDUP($H1033/HoursPerDay,0),Holidays))</f>
        <v>46401</v>
      </c>
    </row>
    <row r="1034" spans="1:10" x14ac:dyDescent="0.25">
      <c r="A1034" s="22" t="s">
        <v>13</v>
      </c>
      <c r="B1034" s="22" t="s">
        <v>82</v>
      </c>
      <c r="C1034" s="22" t="s">
        <v>852</v>
      </c>
      <c r="D1034" s="22" t="s">
        <v>48</v>
      </c>
      <c r="E1034" s="23">
        <f>SUMIF($D1035:$D1038,"Task",$E1035:$E1038)</f>
        <v>0</v>
      </c>
      <c r="F1034" s="22"/>
      <c r="G1034" s="23"/>
      <c r="H1034" s="23"/>
      <c r="I1034" s="24">
        <f>MIN($I1035:$I1038)</f>
        <v>46401</v>
      </c>
      <c r="J1034" s="24">
        <f>MAX($J1035:$J1038)</f>
        <v>46405</v>
      </c>
    </row>
    <row r="1035" spans="1:10" x14ac:dyDescent="0.25">
      <c r="A1035" s="25" t="s">
        <v>13</v>
      </c>
      <c r="B1035" s="25" t="s">
        <v>84</v>
      </c>
      <c r="C1035" s="25" t="s">
        <v>50</v>
      </c>
      <c r="D1035" s="25" t="s">
        <v>51</v>
      </c>
      <c r="E1035" s="26">
        <v>0</v>
      </c>
      <c r="F1035" s="25" t="s">
        <v>561</v>
      </c>
      <c r="G1035" s="27">
        <f>$H$1030</f>
        <v>8</v>
      </c>
      <c r="H1035" s="27">
        <f>$G1035+$E1035</f>
        <v>8</v>
      </c>
      <c r="I1035" s="28">
        <f>WORKDAY(Settings!$D$14,INT($G1035/HoursPerDay)+1,Holidays)</f>
        <v>46402</v>
      </c>
      <c r="J1035" s="28">
        <f>IF($E1035=0,$I1035,WORKDAY(Settings!$D$14,ROUNDUP($H1035/HoursPerDay,0),Holidays))</f>
        <v>46402</v>
      </c>
    </row>
    <row r="1036" spans="1:10" x14ac:dyDescent="0.25">
      <c r="A1036" s="25" t="s">
        <v>13</v>
      </c>
      <c r="B1036" s="25" t="s">
        <v>85</v>
      </c>
      <c r="C1036" s="25" t="s">
        <v>54</v>
      </c>
      <c r="D1036" s="25" t="s">
        <v>51</v>
      </c>
      <c r="E1036" s="26">
        <v>0</v>
      </c>
      <c r="F1036" s="25" t="s">
        <v>52</v>
      </c>
      <c r="G1036" s="27">
        <f>$H$1031</f>
        <v>14</v>
      </c>
      <c r="H1036" s="27">
        <f>$G1036+$E1036</f>
        <v>14</v>
      </c>
      <c r="I1036" s="28">
        <f>WORKDAY(Settings!$D$14,INT($G1036/HoursPerDay)+1,Holidays)</f>
        <v>46405</v>
      </c>
      <c r="J1036" s="28">
        <f>IF($E1036=0,$I1036,WORKDAY(Settings!$D$14,ROUNDUP($H1036/HoursPerDay,0),Holidays))</f>
        <v>46405</v>
      </c>
    </row>
    <row r="1037" spans="1:10" x14ac:dyDescent="0.25">
      <c r="A1037" s="25" t="s">
        <v>13</v>
      </c>
      <c r="B1037" s="25" t="s">
        <v>86</v>
      </c>
      <c r="C1037" s="25" t="s">
        <v>56</v>
      </c>
      <c r="D1037" s="25" t="s">
        <v>51</v>
      </c>
      <c r="E1037" s="26">
        <v>0</v>
      </c>
      <c r="F1037" s="25" t="s">
        <v>57</v>
      </c>
      <c r="G1037" s="27">
        <f>$H$1032</f>
        <v>9</v>
      </c>
      <c r="H1037" s="27">
        <f>$G1037+$E1037</f>
        <v>9</v>
      </c>
      <c r="I1037" s="28">
        <f>WORKDAY(Settings!$D$14,INT($G1037/HoursPerDay)+1,Holidays)</f>
        <v>46402</v>
      </c>
      <c r="J1037" s="28">
        <f>IF($E1037=0,$I1037,WORKDAY(Settings!$D$14,ROUNDUP($H1037/HoursPerDay,0),Holidays))</f>
        <v>46402</v>
      </c>
    </row>
    <row r="1038" spans="1:10" x14ac:dyDescent="0.25">
      <c r="A1038" s="25" t="s">
        <v>13</v>
      </c>
      <c r="B1038" s="25" t="s">
        <v>87</v>
      </c>
      <c r="C1038" s="25" t="s">
        <v>59</v>
      </c>
      <c r="D1038" s="25" t="s">
        <v>51</v>
      </c>
      <c r="E1038" s="26">
        <v>0</v>
      </c>
      <c r="F1038" s="25" t="s">
        <v>60</v>
      </c>
      <c r="G1038" s="27">
        <f>$H$1033</f>
        <v>4</v>
      </c>
      <c r="H1038" s="27">
        <f>$G1038+$E1038</f>
        <v>4</v>
      </c>
      <c r="I1038" s="28">
        <f>WORKDAY(Settings!$D$14,INT($G1038/HoursPerDay)+1,Holidays)</f>
        <v>46401</v>
      </c>
      <c r="J1038" s="28">
        <f>IF($E1038=0,$I1038,WORKDAY(Settings!$D$14,ROUNDUP($H1038/HoursPerDay,0),Holidays))</f>
        <v>46401</v>
      </c>
    </row>
    <row r="1039" spans="1:10" x14ac:dyDescent="0.25">
      <c r="A1039" s="22" t="s">
        <v>13</v>
      </c>
      <c r="B1039" s="22" t="s">
        <v>88</v>
      </c>
      <c r="C1039" s="22" t="s">
        <v>853</v>
      </c>
      <c r="D1039" s="22" t="s">
        <v>48</v>
      </c>
      <c r="E1039" s="23">
        <f>SUMIF($D1040:$D1042,"Task",$E1040:$E1042)</f>
        <v>8</v>
      </c>
      <c r="F1039" s="22"/>
      <c r="G1039" s="23"/>
      <c r="H1039" s="23"/>
      <c r="I1039" s="24">
        <f>MIN($I1040:$I1042)</f>
        <v>46401</v>
      </c>
      <c r="J1039" s="24">
        <f>MAX($J1040:$J1042)</f>
        <v>46405</v>
      </c>
    </row>
    <row r="1040" spans="1:10" x14ac:dyDescent="0.25">
      <c r="A1040" s="25" t="s">
        <v>13</v>
      </c>
      <c r="B1040" s="25" t="s">
        <v>91</v>
      </c>
      <c r="C1040" s="25" t="s">
        <v>54</v>
      </c>
      <c r="D1040" s="25" t="s">
        <v>51</v>
      </c>
      <c r="E1040" s="26">
        <v>2</v>
      </c>
      <c r="F1040" s="25" t="s">
        <v>52</v>
      </c>
      <c r="G1040" s="27">
        <f>$H$1036</f>
        <v>14</v>
      </c>
      <c r="H1040" s="27">
        <f>$G1040+$E1040</f>
        <v>16</v>
      </c>
      <c r="I1040" s="28">
        <f>WORKDAY(Settings!$D$14,INT($G1040/HoursPerDay)+1,Holidays)</f>
        <v>46405</v>
      </c>
      <c r="J1040" s="28">
        <f>IF($E1040=0,$I1040,WORKDAY(Settings!$D$14,ROUNDUP($H1040/HoursPerDay,0),Holidays))</f>
        <v>46405</v>
      </c>
    </row>
    <row r="1041" spans="1:10" x14ac:dyDescent="0.25">
      <c r="A1041" s="25" t="s">
        <v>13</v>
      </c>
      <c r="B1041" s="25" t="s">
        <v>92</v>
      </c>
      <c r="C1041" s="25" t="s">
        <v>56</v>
      </c>
      <c r="D1041" s="25" t="s">
        <v>51</v>
      </c>
      <c r="E1041" s="26">
        <v>3</v>
      </c>
      <c r="F1041" s="25" t="s">
        <v>57</v>
      </c>
      <c r="G1041" s="27">
        <f>$H$1037</f>
        <v>9</v>
      </c>
      <c r="H1041" s="27">
        <f>$G1041+$E1041</f>
        <v>12</v>
      </c>
      <c r="I1041" s="28">
        <f>WORKDAY(Settings!$D$14,INT($G1041/HoursPerDay)+1,Holidays)</f>
        <v>46402</v>
      </c>
      <c r="J1041" s="28">
        <f>IF($E1041=0,$I1041,WORKDAY(Settings!$D$14,ROUNDUP($H1041/HoursPerDay,0),Holidays))</f>
        <v>46402</v>
      </c>
    </row>
    <row r="1042" spans="1:10" x14ac:dyDescent="0.25">
      <c r="A1042" s="25" t="s">
        <v>13</v>
      </c>
      <c r="B1042" s="25" t="s">
        <v>457</v>
      </c>
      <c r="C1042" s="25" t="s">
        <v>59</v>
      </c>
      <c r="D1042" s="25" t="s">
        <v>51</v>
      </c>
      <c r="E1042" s="26">
        <v>3</v>
      </c>
      <c r="F1042" s="25" t="s">
        <v>60</v>
      </c>
      <c r="G1042" s="27">
        <f>$H$1038</f>
        <v>4</v>
      </c>
      <c r="H1042" s="27">
        <f>$G1042+$E1042</f>
        <v>7</v>
      </c>
      <c r="I1042" s="28">
        <f>WORKDAY(Settings!$D$14,INT($G1042/HoursPerDay)+1,Holidays)</f>
        <v>46401</v>
      </c>
      <c r="J1042" s="28">
        <f>IF($E1042=0,$I1042,WORKDAY(Settings!$D$14,ROUNDUP($H1042/HoursPerDay,0),Holidays))</f>
        <v>46401</v>
      </c>
    </row>
    <row r="1043" spans="1:10" x14ac:dyDescent="0.25">
      <c r="A1043" s="22" t="s">
        <v>13</v>
      </c>
      <c r="B1043" s="22" t="s">
        <v>93</v>
      </c>
      <c r="C1043" s="22" t="s">
        <v>854</v>
      </c>
      <c r="D1043" s="22" t="s">
        <v>48</v>
      </c>
      <c r="E1043" s="23">
        <f>SUMIF($D1044:$D1047,"Task",$E1044:$E1047)</f>
        <v>0</v>
      </c>
      <c r="F1043" s="22"/>
      <c r="G1043" s="23"/>
      <c r="H1043" s="23"/>
      <c r="I1043" s="24">
        <f>MIN($I1044:$I1047)</f>
        <v>46402</v>
      </c>
      <c r="J1043" s="24">
        <f>MAX($J1044:$J1047)</f>
        <v>46405</v>
      </c>
    </row>
    <row r="1044" spans="1:10" x14ac:dyDescent="0.25">
      <c r="A1044" s="25" t="s">
        <v>13</v>
      </c>
      <c r="B1044" s="25" t="s">
        <v>95</v>
      </c>
      <c r="C1044" s="25" t="s">
        <v>50</v>
      </c>
      <c r="D1044" s="25" t="s">
        <v>51</v>
      </c>
      <c r="E1044" s="26">
        <v>0</v>
      </c>
      <c r="F1044" s="25" t="s">
        <v>561</v>
      </c>
      <c r="G1044" s="27">
        <f>$H$1035</f>
        <v>8</v>
      </c>
      <c r="H1044" s="27">
        <f>$G1044+$E1044</f>
        <v>8</v>
      </c>
      <c r="I1044" s="28">
        <f>WORKDAY(Settings!$D$14,INT($G1044/HoursPerDay)+1,Holidays)</f>
        <v>46402</v>
      </c>
      <c r="J1044" s="28">
        <f>IF($E1044=0,$I1044,WORKDAY(Settings!$D$14,ROUNDUP($H1044/HoursPerDay,0),Holidays))</f>
        <v>46402</v>
      </c>
    </row>
    <row r="1045" spans="1:10" x14ac:dyDescent="0.25">
      <c r="A1045" s="25" t="s">
        <v>13</v>
      </c>
      <c r="B1045" s="25" t="s">
        <v>96</v>
      </c>
      <c r="C1045" s="25" t="s">
        <v>54</v>
      </c>
      <c r="D1045" s="25" t="s">
        <v>51</v>
      </c>
      <c r="E1045" s="26">
        <v>0</v>
      </c>
      <c r="F1045" s="25" t="s">
        <v>52</v>
      </c>
      <c r="G1045" s="27">
        <f>$H$1040</f>
        <v>16</v>
      </c>
      <c r="H1045" s="27">
        <f>$G1045+$E1045</f>
        <v>16</v>
      </c>
      <c r="I1045" s="28">
        <f>WORKDAY(Settings!$D$14,INT($G1045/HoursPerDay)+1,Holidays)</f>
        <v>46405</v>
      </c>
      <c r="J1045" s="28">
        <f>IF($E1045=0,$I1045,WORKDAY(Settings!$D$14,ROUNDUP($H1045/HoursPerDay,0),Holidays))</f>
        <v>46405</v>
      </c>
    </row>
    <row r="1046" spans="1:10" x14ac:dyDescent="0.25">
      <c r="A1046" s="25" t="s">
        <v>13</v>
      </c>
      <c r="B1046" s="25" t="s">
        <v>97</v>
      </c>
      <c r="C1046" s="25" t="s">
        <v>56</v>
      </c>
      <c r="D1046" s="25" t="s">
        <v>51</v>
      </c>
      <c r="E1046" s="26">
        <v>0</v>
      </c>
      <c r="F1046" s="25" t="s">
        <v>57</v>
      </c>
      <c r="G1046" s="27">
        <f>$H$1041</f>
        <v>12</v>
      </c>
      <c r="H1046" s="27">
        <f>$G1046+$E1046</f>
        <v>12</v>
      </c>
      <c r="I1046" s="28">
        <f>WORKDAY(Settings!$D$14,INT($G1046/HoursPerDay)+1,Holidays)</f>
        <v>46402</v>
      </c>
      <c r="J1046" s="28">
        <f>IF($E1046=0,$I1046,WORKDAY(Settings!$D$14,ROUNDUP($H1046/HoursPerDay,0),Holidays))</f>
        <v>46402</v>
      </c>
    </row>
    <row r="1047" spans="1:10" x14ac:dyDescent="0.25">
      <c r="A1047" s="25" t="s">
        <v>13</v>
      </c>
      <c r="B1047" s="25" t="s">
        <v>98</v>
      </c>
      <c r="C1047" s="25" t="s">
        <v>59</v>
      </c>
      <c r="D1047" s="25" t="s">
        <v>51</v>
      </c>
      <c r="E1047" s="26">
        <v>0</v>
      </c>
      <c r="F1047" s="25" t="s">
        <v>60</v>
      </c>
      <c r="G1047" s="27">
        <f>$H$1042</f>
        <v>7</v>
      </c>
      <c r="H1047" s="27">
        <f>$G1047+$E1047</f>
        <v>7</v>
      </c>
      <c r="I1047" s="28">
        <f>WORKDAY(Settings!$D$14,INT($G1047/HoursPerDay)+1,Holidays)</f>
        <v>46402</v>
      </c>
      <c r="J1047" s="28">
        <f>IF($E1047=0,$I1047,WORKDAY(Settings!$D$14,ROUNDUP($H1047/HoursPerDay,0),Holidays))</f>
        <v>46402</v>
      </c>
    </row>
    <row r="1048" spans="1:10" x14ac:dyDescent="0.25">
      <c r="A1048" s="22" t="s">
        <v>13</v>
      </c>
      <c r="B1048" s="22" t="s">
        <v>99</v>
      </c>
      <c r="C1048" s="22" t="s">
        <v>855</v>
      </c>
      <c r="D1048" s="22" t="s">
        <v>48</v>
      </c>
      <c r="E1048" s="23">
        <f>SUMIF($D1049:$D1051,"Task",$E1049:$E1051)</f>
        <v>6</v>
      </c>
      <c r="F1048" s="22"/>
      <c r="G1048" s="23"/>
      <c r="H1048" s="23"/>
      <c r="I1048" s="24">
        <f>MIN($I1049:$I1051)</f>
        <v>46402</v>
      </c>
      <c r="J1048" s="24">
        <f>MAX($J1049:$J1051)</f>
        <v>46405</v>
      </c>
    </row>
    <row r="1049" spans="1:10" x14ac:dyDescent="0.25">
      <c r="A1049" s="25" t="s">
        <v>13</v>
      </c>
      <c r="B1049" s="25" t="s">
        <v>102</v>
      </c>
      <c r="C1049" s="25" t="s">
        <v>54</v>
      </c>
      <c r="D1049" s="25" t="s">
        <v>51</v>
      </c>
      <c r="E1049" s="26">
        <v>2</v>
      </c>
      <c r="F1049" s="25" t="s">
        <v>52</v>
      </c>
      <c r="G1049" s="27">
        <f>$H$1045</f>
        <v>16</v>
      </c>
      <c r="H1049" s="27">
        <f>$G1049+$E1049</f>
        <v>18</v>
      </c>
      <c r="I1049" s="28">
        <f>WORKDAY(Settings!$D$14,INT($G1049/HoursPerDay)+1,Holidays)</f>
        <v>46405</v>
      </c>
      <c r="J1049" s="28">
        <f>IF($E1049=0,$I1049,WORKDAY(Settings!$D$14,ROUNDUP($H1049/HoursPerDay,0),Holidays))</f>
        <v>46405</v>
      </c>
    </row>
    <row r="1050" spans="1:10" x14ac:dyDescent="0.25">
      <c r="A1050" s="25" t="s">
        <v>13</v>
      </c>
      <c r="B1050" s="25" t="s">
        <v>103</v>
      </c>
      <c r="C1050" s="25" t="s">
        <v>56</v>
      </c>
      <c r="D1050" s="25" t="s">
        <v>51</v>
      </c>
      <c r="E1050" s="26">
        <v>2</v>
      </c>
      <c r="F1050" s="25" t="s">
        <v>57</v>
      </c>
      <c r="G1050" s="27">
        <f>$H$1046</f>
        <v>12</v>
      </c>
      <c r="H1050" s="27">
        <f>$G1050+$E1050</f>
        <v>14</v>
      </c>
      <c r="I1050" s="28">
        <f>WORKDAY(Settings!$D$14,INT($G1050/HoursPerDay)+1,Holidays)</f>
        <v>46402</v>
      </c>
      <c r="J1050" s="28">
        <f>IF($E1050=0,$I1050,WORKDAY(Settings!$D$14,ROUNDUP($H1050/HoursPerDay,0),Holidays))</f>
        <v>46402</v>
      </c>
    </row>
    <row r="1051" spans="1:10" x14ac:dyDescent="0.25">
      <c r="A1051" s="25" t="s">
        <v>13</v>
      </c>
      <c r="B1051" s="25" t="s">
        <v>104</v>
      </c>
      <c r="C1051" s="25" t="s">
        <v>59</v>
      </c>
      <c r="D1051" s="25" t="s">
        <v>51</v>
      </c>
      <c r="E1051" s="26">
        <v>2</v>
      </c>
      <c r="F1051" s="25" t="s">
        <v>60</v>
      </c>
      <c r="G1051" s="27">
        <f>$H$1047</f>
        <v>7</v>
      </c>
      <c r="H1051" s="27">
        <f>$G1051+$E1051</f>
        <v>9</v>
      </c>
      <c r="I1051" s="28">
        <f>WORKDAY(Settings!$D$14,INT($G1051/HoursPerDay)+1,Holidays)</f>
        <v>46402</v>
      </c>
      <c r="J1051" s="28">
        <f>IF($E1051=0,$I1051,WORKDAY(Settings!$D$14,ROUNDUP($H1051/HoursPerDay,0),Holidays))</f>
        <v>46402</v>
      </c>
    </row>
    <row r="1052" spans="1:10" x14ac:dyDescent="0.25">
      <c r="A1052" s="22" t="s">
        <v>13</v>
      </c>
      <c r="B1052" s="22" t="s">
        <v>105</v>
      </c>
      <c r="C1052" s="22" t="s">
        <v>856</v>
      </c>
      <c r="D1052" s="22" t="s">
        <v>48</v>
      </c>
      <c r="E1052" s="23">
        <f>SUMIF($D1053:$D1056,"Task",$E1053:$E1056)</f>
        <v>13</v>
      </c>
      <c r="F1052" s="22"/>
      <c r="G1052" s="23"/>
      <c r="H1052" s="23"/>
      <c r="I1052" s="24">
        <f>MIN($I1053:$I1056)</f>
        <v>46402</v>
      </c>
      <c r="J1052" s="24">
        <f>MAX($J1053:$J1056)</f>
        <v>46406</v>
      </c>
    </row>
    <row r="1053" spans="1:10" x14ac:dyDescent="0.25">
      <c r="A1053" s="25" t="s">
        <v>13</v>
      </c>
      <c r="B1053" s="25" t="s">
        <v>107</v>
      </c>
      <c r="C1053" s="25" t="s">
        <v>50</v>
      </c>
      <c r="D1053" s="25" t="s">
        <v>51</v>
      </c>
      <c r="E1053" s="26">
        <v>1</v>
      </c>
      <c r="F1053" s="25" t="s">
        <v>561</v>
      </c>
      <c r="G1053" s="27">
        <f>$H$1044</f>
        <v>8</v>
      </c>
      <c r="H1053" s="27">
        <f>$G1053+$E1053</f>
        <v>9</v>
      </c>
      <c r="I1053" s="28">
        <f>WORKDAY(Settings!$D$14,INT($G1053/HoursPerDay)+1,Holidays)</f>
        <v>46402</v>
      </c>
      <c r="J1053" s="28">
        <f>IF($E1053=0,$I1053,WORKDAY(Settings!$D$14,ROUNDUP($H1053/HoursPerDay,0),Holidays))</f>
        <v>46402</v>
      </c>
    </row>
    <row r="1054" spans="1:10" x14ac:dyDescent="0.25">
      <c r="A1054" s="25" t="s">
        <v>13</v>
      </c>
      <c r="B1054" s="25" t="s">
        <v>108</v>
      </c>
      <c r="C1054" s="25" t="s">
        <v>54</v>
      </c>
      <c r="D1054" s="25" t="s">
        <v>51</v>
      </c>
      <c r="E1054" s="26">
        <v>5</v>
      </c>
      <c r="F1054" s="25" t="s">
        <v>52</v>
      </c>
      <c r="G1054" s="27">
        <f>$H$1049</f>
        <v>18</v>
      </c>
      <c r="H1054" s="27">
        <f>$G1054+$E1054</f>
        <v>23</v>
      </c>
      <c r="I1054" s="28">
        <f>WORKDAY(Settings!$D$14,INT($G1054/HoursPerDay)+1,Holidays)</f>
        <v>46405</v>
      </c>
      <c r="J1054" s="28">
        <f>IF($E1054=0,$I1054,WORKDAY(Settings!$D$14,ROUNDUP($H1054/HoursPerDay,0),Holidays))</f>
        <v>46406</v>
      </c>
    </row>
    <row r="1055" spans="1:10" x14ac:dyDescent="0.25">
      <c r="A1055" s="25" t="s">
        <v>13</v>
      </c>
      <c r="B1055" s="25" t="s">
        <v>109</v>
      </c>
      <c r="C1055" s="25" t="s">
        <v>56</v>
      </c>
      <c r="D1055" s="25" t="s">
        <v>51</v>
      </c>
      <c r="E1055" s="26">
        <v>4</v>
      </c>
      <c r="F1055" s="25" t="s">
        <v>57</v>
      </c>
      <c r="G1055" s="27">
        <f>$H$1050</f>
        <v>14</v>
      </c>
      <c r="H1055" s="27">
        <f>$G1055+$E1055</f>
        <v>18</v>
      </c>
      <c r="I1055" s="28">
        <f>WORKDAY(Settings!$D$14,INT($G1055/HoursPerDay)+1,Holidays)</f>
        <v>46405</v>
      </c>
      <c r="J1055" s="28">
        <f>IF($E1055=0,$I1055,WORKDAY(Settings!$D$14,ROUNDUP($H1055/HoursPerDay,0),Holidays))</f>
        <v>46405</v>
      </c>
    </row>
    <row r="1056" spans="1:10" x14ac:dyDescent="0.25">
      <c r="A1056" s="25" t="s">
        <v>13</v>
      </c>
      <c r="B1056" s="25" t="s">
        <v>110</v>
      </c>
      <c r="C1056" s="25" t="s">
        <v>59</v>
      </c>
      <c r="D1056" s="25" t="s">
        <v>51</v>
      </c>
      <c r="E1056" s="26">
        <v>3</v>
      </c>
      <c r="F1056" s="25" t="s">
        <v>60</v>
      </c>
      <c r="G1056" s="27">
        <f>$H$1051</f>
        <v>9</v>
      </c>
      <c r="H1056" s="27">
        <f>$G1056+$E1056</f>
        <v>12</v>
      </c>
      <c r="I1056" s="28">
        <f>WORKDAY(Settings!$D$14,INT($G1056/HoursPerDay)+1,Holidays)</f>
        <v>46402</v>
      </c>
      <c r="J1056" s="28">
        <f>IF($E1056=0,$I1056,WORKDAY(Settings!$D$14,ROUNDUP($H1056/HoursPerDay,0),Holidays))</f>
        <v>46402</v>
      </c>
    </row>
    <row r="1057" spans="1:10" x14ac:dyDescent="0.25">
      <c r="A1057" s="22" t="s">
        <v>13</v>
      </c>
      <c r="B1057" s="22" t="s">
        <v>111</v>
      </c>
      <c r="C1057" s="22" t="s">
        <v>857</v>
      </c>
      <c r="D1057" s="22" t="s">
        <v>48</v>
      </c>
      <c r="E1057" s="23">
        <f>SUMIF($D1058:$D1060,"Task",$E1058:$E1060)</f>
        <v>0</v>
      </c>
      <c r="F1057" s="22"/>
      <c r="G1057" s="23"/>
      <c r="H1057" s="23"/>
      <c r="I1057" s="24">
        <f>MIN($I1058:$I1060)</f>
        <v>46402</v>
      </c>
      <c r="J1057" s="24">
        <f>MAX($J1058:$J1060)</f>
        <v>46406</v>
      </c>
    </row>
    <row r="1058" spans="1:10" x14ac:dyDescent="0.25">
      <c r="A1058" s="25" t="s">
        <v>13</v>
      </c>
      <c r="B1058" s="25" t="s">
        <v>113</v>
      </c>
      <c r="C1058" s="25" t="s">
        <v>54</v>
      </c>
      <c r="D1058" s="25" t="s">
        <v>51</v>
      </c>
      <c r="E1058" s="26">
        <v>0</v>
      </c>
      <c r="F1058" s="25" t="s">
        <v>52</v>
      </c>
      <c r="G1058" s="27">
        <f>$H$1054</f>
        <v>23</v>
      </c>
      <c r="H1058" s="27">
        <f>$G1058+$E1058</f>
        <v>23</v>
      </c>
      <c r="I1058" s="28">
        <f>WORKDAY(Settings!$D$14,INT($G1058/HoursPerDay)+1,Holidays)</f>
        <v>46406</v>
      </c>
      <c r="J1058" s="28">
        <f>IF($E1058=0,$I1058,WORKDAY(Settings!$D$14,ROUNDUP($H1058/HoursPerDay,0),Holidays))</f>
        <v>46406</v>
      </c>
    </row>
    <row r="1059" spans="1:10" x14ac:dyDescent="0.25">
      <c r="A1059" s="25" t="s">
        <v>13</v>
      </c>
      <c r="B1059" s="25" t="s">
        <v>114</v>
      </c>
      <c r="C1059" s="25" t="s">
        <v>56</v>
      </c>
      <c r="D1059" s="25" t="s">
        <v>51</v>
      </c>
      <c r="E1059" s="26">
        <v>0</v>
      </c>
      <c r="F1059" s="25" t="s">
        <v>57</v>
      </c>
      <c r="G1059" s="27">
        <f>$H$1055</f>
        <v>18</v>
      </c>
      <c r="H1059" s="27">
        <f>$G1059+$E1059</f>
        <v>18</v>
      </c>
      <c r="I1059" s="28">
        <f>WORKDAY(Settings!$D$14,INT($G1059/HoursPerDay)+1,Holidays)</f>
        <v>46405</v>
      </c>
      <c r="J1059" s="28">
        <f>IF($E1059=0,$I1059,WORKDAY(Settings!$D$14,ROUNDUP($H1059/HoursPerDay,0),Holidays))</f>
        <v>46405</v>
      </c>
    </row>
    <row r="1060" spans="1:10" x14ac:dyDescent="0.25">
      <c r="A1060" s="25" t="s">
        <v>13</v>
      </c>
      <c r="B1060" s="25" t="s">
        <v>115</v>
      </c>
      <c r="C1060" s="25" t="s">
        <v>59</v>
      </c>
      <c r="D1060" s="25" t="s">
        <v>51</v>
      </c>
      <c r="E1060" s="26">
        <v>0</v>
      </c>
      <c r="F1060" s="25" t="s">
        <v>60</v>
      </c>
      <c r="G1060" s="27">
        <f>$H$1056</f>
        <v>12</v>
      </c>
      <c r="H1060" s="27">
        <f>$G1060+$E1060</f>
        <v>12</v>
      </c>
      <c r="I1060" s="28">
        <f>WORKDAY(Settings!$D$14,INT($G1060/HoursPerDay)+1,Holidays)</f>
        <v>46402</v>
      </c>
      <c r="J1060" s="28">
        <f>IF($E1060=0,$I1060,WORKDAY(Settings!$D$14,ROUNDUP($H1060/HoursPerDay,0),Holidays))</f>
        <v>46402</v>
      </c>
    </row>
    <row r="1061" spans="1:10" x14ac:dyDescent="0.25">
      <c r="A1061" s="22" t="s">
        <v>13</v>
      </c>
      <c r="B1061" s="22" t="s">
        <v>116</v>
      </c>
      <c r="C1061" s="22" t="s">
        <v>858</v>
      </c>
      <c r="D1061" s="22" t="s">
        <v>48</v>
      </c>
      <c r="E1061" s="23">
        <f>SUMIF($D1062:$D1064,"Task",$E1062:$E1064)</f>
        <v>5</v>
      </c>
      <c r="F1061" s="22"/>
      <c r="G1061" s="23"/>
      <c r="H1061" s="23"/>
      <c r="I1061" s="24">
        <f>MIN($I1062:$I1064)</f>
        <v>46402</v>
      </c>
      <c r="J1061" s="24">
        <f>MAX($J1062:$J1064)</f>
        <v>46406</v>
      </c>
    </row>
    <row r="1062" spans="1:10" x14ac:dyDescent="0.25">
      <c r="A1062" s="25" t="s">
        <v>13</v>
      </c>
      <c r="B1062" s="25" t="s">
        <v>118</v>
      </c>
      <c r="C1062" s="25" t="s">
        <v>54</v>
      </c>
      <c r="D1062" s="25" t="s">
        <v>51</v>
      </c>
      <c r="E1062" s="26">
        <v>2</v>
      </c>
      <c r="F1062" s="25" t="s">
        <v>52</v>
      </c>
      <c r="G1062" s="27">
        <f>$H$1058</f>
        <v>23</v>
      </c>
      <c r="H1062" s="27">
        <f>$G1062+$E1062</f>
        <v>25</v>
      </c>
      <c r="I1062" s="28">
        <f>WORKDAY(Settings!$D$14,INT($G1062/HoursPerDay)+1,Holidays)</f>
        <v>46406</v>
      </c>
      <c r="J1062" s="28">
        <f>IF($E1062=0,$I1062,WORKDAY(Settings!$D$14,ROUNDUP($H1062/HoursPerDay,0),Holidays))</f>
        <v>46406</v>
      </c>
    </row>
    <row r="1063" spans="1:10" x14ac:dyDescent="0.25">
      <c r="A1063" s="25" t="s">
        <v>13</v>
      </c>
      <c r="B1063" s="25" t="s">
        <v>119</v>
      </c>
      <c r="C1063" s="25" t="s">
        <v>56</v>
      </c>
      <c r="D1063" s="25" t="s">
        <v>51</v>
      </c>
      <c r="E1063" s="26">
        <v>2</v>
      </c>
      <c r="F1063" s="25" t="s">
        <v>57</v>
      </c>
      <c r="G1063" s="27">
        <f>$H$1059</f>
        <v>18</v>
      </c>
      <c r="H1063" s="27">
        <f>$G1063+$E1063</f>
        <v>20</v>
      </c>
      <c r="I1063" s="28">
        <f>WORKDAY(Settings!$D$14,INT($G1063/HoursPerDay)+1,Holidays)</f>
        <v>46405</v>
      </c>
      <c r="J1063" s="28">
        <f>IF($E1063=0,$I1063,WORKDAY(Settings!$D$14,ROUNDUP($H1063/HoursPerDay,0),Holidays))</f>
        <v>46405</v>
      </c>
    </row>
    <row r="1064" spans="1:10" x14ac:dyDescent="0.25">
      <c r="A1064" s="25" t="s">
        <v>13</v>
      </c>
      <c r="B1064" s="25" t="s">
        <v>120</v>
      </c>
      <c r="C1064" s="25" t="s">
        <v>59</v>
      </c>
      <c r="D1064" s="25" t="s">
        <v>51</v>
      </c>
      <c r="E1064" s="26">
        <v>1</v>
      </c>
      <c r="F1064" s="25" t="s">
        <v>60</v>
      </c>
      <c r="G1064" s="27">
        <f>$H$1060</f>
        <v>12</v>
      </c>
      <c r="H1064" s="27">
        <f>$G1064+$E1064</f>
        <v>13</v>
      </c>
      <c r="I1064" s="28">
        <f>WORKDAY(Settings!$D$14,INT($G1064/HoursPerDay)+1,Holidays)</f>
        <v>46402</v>
      </c>
      <c r="J1064" s="28">
        <f>IF($E1064=0,$I1064,WORKDAY(Settings!$D$14,ROUNDUP($H1064/HoursPerDay,0),Holidays))</f>
        <v>46402</v>
      </c>
    </row>
    <row r="1065" spans="1:10" x14ac:dyDescent="0.25">
      <c r="A1065" s="22" t="s">
        <v>13</v>
      </c>
      <c r="B1065" s="22" t="s">
        <v>121</v>
      </c>
      <c r="C1065" s="22" t="s">
        <v>859</v>
      </c>
      <c r="D1065" s="22" t="s">
        <v>48</v>
      </c>
      <c r="E1065" s="23">
        <f>SUMIF($D1066:$D1068,"Task",$E1066:$E1068)</f>
        <v>4</v>
      </c>
      <c r="F1065" s="22"/>
      <c r="G1065" s="23"/>
      <c r="H1065" s="23"/>
      <c r="I1065" s="24">
        <f>MIN($I1066:$I1068)</f>
        <v>46402</v>
      </c>
      <c r="J1065" s="24">
        <f>MAX($J1066:$J1068)</f>
        <v>46406</v>
      </c>
    </row>
    <row r="1066" spans="1:10" x14ac:dyDescent="0.25">
      <c r="A1066" s="25" t="s">
        <v>13</v>
      </c>
      <c r="B1066" s="25" t="s">
        <v>123</v>
      </c>
      <c r="C1066" s="25" t="s">
        <v>54</v>
      </c>
      <c r="D1066" s="25" t="s">
        <v>51</v>
      </c>
      <c r="E1066" s="26">
        <v>2</v>
      </c>
      <c r="F1066" s="25" t="s">
        <v>52</v>
      </c>
      <c r="G1066" s="27">
        <f>$H$1062</f>
        <v>25</v>
      </c>
      <c r="H1066" s="27">
        <f>$G1066+$E1066</f>
        <v>27</v>
      </c>
      <c r="I1066" s="28">
        <f>WORKDAY(Settings!$D$14,INT($G1066/HoursPerDay)+1,Holidays)</f>
        <v>46406</v>
      </c>
      <c r="J1066" s="28">
        <f>IF($E1066=0,$I1066,WORKDAY(Settings!$D$14,ROUNDUP($H1066/HoursPerDay,0),Holidays))</f>
        <v>46406</v>
      </c>
    </row>
    <row r="1067" spans="1:10" x14ac:dyDescent="0.25">
      <c r="A1067" s="25" t="s">
        <v>13</v>
      </c>
      <c r="B1067" s="25" t="s">
        <v>124</v>
      </c>
      <c r="C1067" s="25" t="s">
        <v>56</v>
      </c>
      <c r="D1067" s="25" t="s">
        <v>51</v>
      </c>
      <c r="E1067" s="26">
        <v>1</v>
      </c>
      <c r="F1067" s="25" t="s">
        <v>57</v>
      </c>
      <c r="G1067" s="27">
        <f>$H$1063</f>
        <v>20</v>
      </c>
      <c r="H1067" s="27">
        <f>$G1067+$E1067</f>
        <v>21</v>
      </c>
      <c r="I1067" s="28">
        <f>WORKDAY(Settings!$D$14,INT($G1067/HoursPerDay)+1,Holidays)</f>
        <v>46405</v>
      </c>
      <c r="J1067" s="28">
        <f>IF($E1067=0,$I1067,WORKDAY(Settings!$D$14,ROUNDUP($H1067/HoursPerDay,0),Holidays))</f>
        <v>46405</v>
      </c>
    </row>
    <row r="1068" spans="1:10" x14ac:dyDescent="0.25">
      <c r="A1068" s="25" t="s">
        <v>13</v>
      </c>
      <c r="B1068" s="25" t="s">
        <v>860</v>
      </c>
      <c r="C1068" s="25" t="s">
        <v>59</v>
      </c>
      <c r="D1068" s="25" t="s">
        <v>51</v>
      </c>
      <c r="E1068" s="26">
        <v>1</v>
      </c>
      <c r="F1068" s="25" t="s">
        <v>60</v>
      </c>
      <c r="G1068" s="27">
        <f>$H$1064</f>
        <v>13</v>
      </c>
      <c r="H1068" s="27">
        <f>$G1068+$E1068</f>
        <v>14</v>
      </c>
      <c r="I1068" s="28">
        <f>WORKDAY(Settings!$D$14,INT($G1068/HoursPerDay)+1,Holidays)</f>
        <v>46402</v>
      </c>
      <c r="J1068" s="28">
        <f>IF($E1068=0,$I1068,WORKDAY(Settings!$D$14,ROUNDUP($H1068/HoursPerDay,0),Holidays))</f>
        <v>46402</v>
      </c>
    </row>
    <row r="1069" spans="1:10" x14ac:dyDescent="0.25">
      <c r="A1069" s="19" t="s">
        <v>13</v>
      </c>
      <c r="B1069" s="19" t="s">
        <v>136</v>
      </c>
      <c r="C1069" s="19" t="s">
        <v>861</v>
      </c>
      <c r="D1069" s="19" t="s">
        <v>45</v>
      </c>
      <c r="E1069" s="20">
        <f>SUMIF($D1070:$D1110,"Task",$E1070:$E1110)</f>
        <v>75</v>
      </c>
      <c r="F1069" s="19"/>
      <c r="G1069" s="20"/>
      <c r="H1069" s="20"/>
      <c r="I1069" s="21">
        <f>MIN($I1070:$I1110)</f>
        <v>46402</v>
      </c>
      <c r="J1069" s="21">
        <f>MAX($J1070:$J1110)</f>
        <v>46414</v>
      </c>
    </row>
    <row r="1070" spans="1:10" x14ac:dyDescent="0.25">
      <c r="A1070" s="22" t="s">
        <v>13</v>
      </c>
      <c r="B1070" s="22" t="s">
        <v>138</v>
      </c>
      <c r="C1070" s="22" t="s">
        <v>862</v>
      </c>
      <c r="D1070" s="22" t="s">
        <v>48</v>
      </c>
      <c r="E1070" s="23">
        <f>SUMIF($D1071:$D1074,"Task",$E1071:$E1074)</f>
        <v>9</v>
      </c>
      <c r="F1070" s="22"/>
      <c r="G1070" s="23"/>
      <c r="H1070" s="23"/>
      <c r="I1070" s="24">
        <f>MIN($I1071:$I1074)</f>
        <v>46402</v>
      </c>
      <c r="J1070" s="24">
        <f>MAX($J1071:$J1074)</f>
        <v>46407</v>
      </c>
    </row>
    <row r="1071" spans="1:10" x14ac:dyDescent="0.25">
      <c r="A1071" s="25" t="s">
        <v>13</v>
      </c>
      <c r="B1071" s="25" t="s">
        <v>140</v>
      </c>
      <c r="C1071" s="25" t="s">
        <v>50</v>
      </c>
      <c r="D1071" s="25" t="s">
        <v>51</v>
      </c>
      <c r="E1071" s="26">
        <v>1</v>
      </c>
      <c r="F1071" s="25" t="s">
        <v>561</v>
      </c>
      <c r="G1071" s="27">
        <f>$H$1053</f>
        <v>9</v>
      </c>
      <c r="H1071" s="27">
        <f>$G1071+$E1071</f>
        <v>10</v>
      </c>
      <c r="I1071" s="28">
        <f>WORKDAY(Settings!$D$14,INT($G1071/HoursPerDay)+1,Holidays)</f>
        <v>46402</v>
      </c>
      <c r="J1071" s="28">
        <f>IF($E1071=0,$I1071,WORKDAY(Settings!$D$14,ROUNDUP($H1071/HoursPerDay,0),Holidays))</f>
        <v>46402</v>
      </c>
    </row>
    <row r="1072" spans="1:10" x14ac:dyDescent="0.25">
      <c r="A1072" s="25" t="s">
        <v>13</v>
      </c>
      <c r="B1072" s="25" t="s">
        <v>141</v>
      </c>
      <c r="C1072" s="25" t="s">
        <v>54</v>
      </c>
      <c r="D1072" s="25" t="s">
        <v>51</v>
      </c>
      <c r="E1072" s="26">
        <v>3</v>
      </c>
      <c r="F1072" s="25" t="s">
        <v>52</v>
      </c>
      <c r="G1072" s="27">
        <f>$H$1066</f>
        <v>27</v>
      </c>
      <c r="H1072" s="27">
        <f>$G1072+$E1072</f>
        <v>30</v>
      </c>
      <c r="I1072" s="28">
        <f>WORKDAY(Settings!$D$14,INT($G1072/HoursPerDay)+1,Holidays)</f>
        <v>46406</v>
      </c>
      <c r="J1072" s="28">
        <f>IF($E1072=0,$I1072,WORKDAY(Settings!$D$14,ROUNDUP($H1072/HoursPerDay,0),Holidays))</f>
        <v>46407</v>
      </c>
    </row>
    <row r="1073" spans="1:10" x14ac:dyDescent="0.25">
      <c r="A1073" s="25" t="s">
        <v>13</v>
      </c>
      <c r="B1073" s="25" t="s">
        <v>142</v>
      </c>
      <c r="C1073" s="25" t="s">
        <v>56</v>
      </c>
      <c r="D1073" s="25" t="s">
        <v>51</v>
      </c>
      <c r="E1073" s="26">
        <v>3</v>
      </c>
      <c r="F1073" s="25" t="s">
        <v>57</v>
      </c>
      <c r="G1073" s="27">
        <f>$H$1067</f>
        <v>21</v>
      </c>
      <c r="H1073" s="27">
        <f>$G1073+$E1073</f>
        <v>24</v>
      </c>
      <c r="I1073" s="28">
        <f>WORKDAY(Settings!$D$14,INT($G1073/HoursPerDay)+1,Holidays)</f>
        <v>46406</v>
      </c>
      <c r="J1073" s="28">
        <f>IF($E1073=0,$I1073,WORKDAY(Settings!$D$14,ROUNDUP($H1073/HoursPerDay,0),Holidays))</f>
        <v>46406</v>
      </c>
    </row>
    <row r="1074" spans="1:10" x14ac:dyDescent="0.25">
      <c r="A1074" s="25" t="s">
        <v>13</v>
      </c>
      <c r="B1074" s="25" t="s">
        <v>143</v>
      </c>
      <c r="C1074" s="25" t="s">
        <v>59</v>
      </c>
      <c r="D1074" s="25" t="s">
        <v>51</v>
      </c>
      <c r="E1074" s="26">
        <v>2</v>
      </c>
      <c r="F1074" s="25" t="s">
        <v>60</v>
      </c>
      <c r="G1074" s="27">
        <f>$H$1068</f>
        <v>14</v>
      </c>
      <c r="H1074" s="27">
        <f>$G1074+$E1074</f>
        <v>16</v>
      </c>
      <c r="I1074" s="28">
        <f>WORKDAY(Settings!$D$14,INT($G1074/HoursPerDay)+1,Holidays)</f>
        <v>46405</v>
      </c>
      <c r="J1074" s="28">
        <f>IF($E1074=0,$I1074,WORKDAY(Settings!$D$14,ROUNDUP($H1074/HoursPerDay,0),Holidays))</f>
        <v>46405</v>
      </c>
    </row>
    <row r="1075" spans="1:10" x14ac:dyDescent="0.25">
      <c r="A1075" s="22" t="s">
        <v>13</v>
      </c>
      <c r="B1075" s="22" t="s">
        <v>144</v>
      </c>
      <c r="C1075" s="22" t="s">
        <v>863</v>
      </c>
      <c r="D1075" s="22" t="s">
        <v>48</v>
      </c>
      <c r="E1075" s="23">
        <f>SUMIF($D1076:$D1078,"Task",$E1076:$E1078)</f>
        <v>6</v>
      </c>
      <c r="F1075" s="22"/>
      <c r="G1075" s="23"/>
      <c r="H1075" s="23"/>
      <c r="I1075" s="24">
        <f>MIN($I1076:$I1078)</f>
        <v>46405</v>
      </c>
      <c r="J1075" s="24">
        <f>MAX($J1076:$J1078)</f>
        <v>46407</v>
      </c>
    </row>
    <row r="1076" spans="1:10" x14ac:dyDescent="0.25">
      <c r="A1076" s="25" t="s">
        <v>13</v>
      </c>
      <c r="B1076" s="25" t="s">
        <v>146</v>
      </c>
      <c r="C1076" s="25" t="s">
        <v>54</v>
      </c>
      <c r="D1076" s="25" t="s">
        <v>51</v>
      </c>
      <c r="E1076" s="26">
        <v>2</v>
      </c>
      <c r="F1076" s="25" t="s">
        <v>52</v>
      </c>
      <c r="G1076" s="27">
        <f>$H$1072</f>
        <v>30</v>
      </c>
      <c r="H1076" s="27">
        <f>$G1076+$E1076</f>
        <v>32</v>
      </c>
      <c r="I1076" s="28">
        <f>WORKDAY(Settings!$D$14,INT($G1076/HoursPerDay)+1,Holidays)</f>
        <v>46407</v>
      </c>
      <c r="J1076" s="28">
        <f>IF($E1076=0,$I1076,WORKDAY(Settings!$D$14,ROUNDUP($H1076/HoursPerDay,0),Holidays))</f>
        <v>46407</v>
      </c>
    </row>
    <row r="1077" spans="1:10" x14ac:dyDescent="0.25">
      <c r="A1077" s="25" t="s">
        <v>13</v>
      </c>
      <c r="B1077" s="25" t="s">
        <v>147</v>
      </c>
      <c r="C1077" s="25" t="s">
        <v>56</v>
      </c>
      <c r="D1077" s="25" t="s">
        <v>51</v>
      </c>
      <c r="E1077" s="26">
        <v>2</v>
      </c>
      <c r="F1077" s="25" t="s">
        <v>57</v>
      </c>
      <c r="G1077" s="27">
        <f>$H$1073</f>
        <v>24</v>
      </c>
      <c r="H1077" s="27">
        <f>$G1077+$E1077</f>
        <v>26</v>
      </c>
      <c r="I1077" s="28">
        <f>WORKDAY(Settings!$D$14,INT($G1077/HoursPerDay)+1,Holidays)</f>
        <v>46406</v>
      </c>
      <c r="J1077" s="28">
        <f>IF($E1077=0,$I1077,WORKDAY(Settings!$D$14,ROUNDUP($H1077/HoursPerDay,0),Holidays))</f>
        <v>46406</v>
      </c>
    </row>
    <row r="1078" spans="1:10" x14ac:dyDescent="0.25">
      <c r="A1078" s="25" t="s">
        <v>13</v>
      </c>
      <c r="B1078" s="25" t="s">
        <v>463</v>
      </c>
      <c r="C1078" s="25" t="s">
        <v>59</v>
      </c>
      <c r="D1078" s="25" t="s">
        <v>51</v>
      </c>
      <c r="E1078" s="26">
        <v>2</v>
      </c>
      <c r="F1078" s="25" t="s">
        <v>60</v>
      </c>
      <c r="G1078" s="27">
        <f>$H$1074</f>
        <v>16</v>
      </c>
      <c r="H1078" s="27">
        <f>$G1078+$E1078</f>
        <v>18</v>
      </c>
      <c r="I1078" s="28">
        <f>WORKDAY(Settings!$D$14,INT($G1078/HoursPerDay)+1,Holidays)</f>
        <v>46405</v>
      </c>
      <c r="J1078" s="28">
        <f>IF($E1078=0,$I1078,WORKDAY(Settings!$D$14,ROUNDUP($H1078/HoursPerDay,0),Holidays))</f>
        <v>46405</v>
      </c>
    </row>
    <row r="1079" spans="1:10" x14ac:dyDescent="0.25">
      <c r="A1079" s="22" t="s">
        <v>13</v>
      </c>
      <c r="B1079" s="22" t="s">
        <v>148</v>
      </c>
      <c r="C1079" s="22" t="s">
        <v>864</v>
      </c>
      <c r="D1079" s="22" t="s">
        <v>48</v>
      </c>
      <c r="E1079" s="23">
        <f>SUMIF($D1080:$D1083,"Task",$E1080:$E1083)</f>
        <v>14</v>
      </c>
      <c r="F1079" s="22"/>
      <c r="G1079" s="23"/>
      <c r="H1079" s="23"/>
      <c r="I1079" s="24">
        <f>MIN($I1080:$I1083)</f>
        <v>46402</v>
      </c>
      <c r="J1079" s="24">
        <f>MAX($J1080:$J1083)</f>
        <v>46408</v>
      </c>
    </row>
    <row r="1080" spans="1:10" x14ac:dyDescent="0.25">
      <c r="A1080" s="25" t="s">
        <v>13</v>
      </c>
      <c r="B1080" s="25" t="s">
        <v>349</v>
      </c>
      <c r="C1080" s="25" t="s">
        <v>50</v>
      </c>
      <c r="D1080" s="25" t="s">
        <v>51</v>
      </c>
      <c r="E1080" s="26">
        <v>1</v>
      </c>
      <c r="F1080" s="25" t="s">
        <v>561</v>
      </c>
      <c r="G1080" s="27">
        <f>$H$1071</f>
        <v>10</v>
      </c>
      <c r="H1080" s="27">
        <f>$G1080+$E1080</f>
        <v>11</v>
      </c>
      <c r="I1080" s="28">
        <f>WORKDAY(Settings!$D$14,INT($G1080/HoursPerDay)+1,Holidays)</f>
        <v>46402</v>
      </c>
      <c r="J1080" s="28">
        <f>IF($E1080=0,$I1080,WORKDAY(Settings!$D$14,ROUNDUP($H1080/HoursPerDay,0),Holidays))</f>
        <v>46402</v>
      </c>
    </row>
    <row r="1081" spans="1:10" x14ac:dyDescent="0.25">
      <c r="A1081" s="25" t="s">
        <v>13</v>
      </c>
      <c r="B1081" s="25" t="s">
        <v>150</v>
      </c>
      <c r="C1081" s="25" t="s">
        <v>54</v>
      </c>
      <c r="D1081" s="25" t="s">
        <v>51</v>
      </c>
      <c r="E1081" s="26">
        <v>5</v>
      </c>
      <c r="F1081" s="25" t="s">
        <v>52</v>
      </c>
      <c r="G1081" s="27">
        <f>$H$1076</f>
        <v>32</v>
      </c>
      <c r="H1081" s="27">
        <f>$G1081+$E1081</f>
        <v>37</v>
      </c>
      <c r="I1081" s="28">
        <f>WORKDAY(Settings!$D$14,INT($G1081/HoursPerDay)+1,Holidays)</f>
        <v>46407</v>
      </c>
      <c r="J1081" s="28">
        <f>IF($E1081=0,$I1081,WORKDAY(Settings!$D$14,ROUNDUP($H1081/HoursPerDay,0),Holidays))</f>
        <v>46408</v>
      </c>
    </row>
    <row r="1082" spans="1:10" x14ac:dyDescent="0.25">
      <c r="A1082" s="25" t="s">
        <v>13</v>
      </c>
      <c r="B1082" s="25" t="s">
        <v>151</v>
      </c>
      <c r="C1082" s="25" t="s">
        <v>56</v>
      </c>
      <c r="D1082" s="25" t="s">
        <v>51</v>
      </c>
      <c r="E1082" s="26">
        <v>4</v>
      </c>
      <c r="F1082" s="25" t="s">
        <v>57</v>
      </c>
      <c r="G1082" s="27">
        <f>$H$1077</f>
        <v>26</v>
      </c>
      <c r="H1082" s="27">
        <f>$G1082+$E1082</f>
        <v>30</v>
      </c>
      <c r="I1082" s="28">
        <f>WORKDAY(Settings!$D$14,INT($G1082/HoursPerDay)+1,Holidays)</f>
        <v>46406</v>
      </c>
      <c r="J1082" s="28">
        <f>IF($E1082=0,$I1082,WORKDAY(Settings!$D$14,ROUNDUP($H1082/HoursPerDay,0),Holidays))</f>
        <v>46407</v>
      </c>
    </row>
    <row r="1083" spans="1:10" x14ac:dyDescent="0.25">
      <c r="A1083" s="25" t="s">
        <v>13</v>
      </c>
      <c r="B1083" s="25" t="s">
        <v>152</v>
      </c>
      <c r="C1083" s="25" t="s">
        <v>59</v>
      </c>
      <c r="D1083" s="25" t="s">
        <v>51</v>
      </c>
      <c r="E1083" s="26">
        <v>4</v>
      </c>
      <c r="F1083" s="25" t="s">
        <v>60</v>
      </c>
      <c r="G1083" s="27">
        <f>$H$1078</f>
        <v>18</v>
      </c>
      <c r="H1083" s="27">
        <f>$G1083+$E1083</f>
        <v>22</v>
      </c>
      <c r="I1083" s="28">
        <f>WORKDAY(Settings!$D$14,INT($G1083/HoursPerDay)+1,Holidays)</f>
        <v>46405</v>
      </c>
      <c r="J1083" s="28">
        <f>IF($E1083=0,$I1083,WORKDAY(Settings!$D$14,ROUNDUP($H1083/HoursPerDay,0),Holidays))</f>
        <v>46406</v>
      </c>
    </row>
    <row r="1084" spans="1:10" x14ac:dyDescent="0.25">
      <c r="A1084" s="22" t="s">
        <v>13</v>
      </c>
      <c r="B1084" s="22" t="s">
        <v>153</v>
      </c>
      <c r="C1084" s="22" t="s">
        <v>865</v>
      </c>
      <c r="D1084" s="22" t="s">
        <v>48</v>
      </c>
      <c r="E1084" s="23">
        <f>SUMIF($D1085:$D1088,"Task",$E1085:$E1088)</f>
        <v>9</v>
      </c>
      <c r="F1084" s="22"/>
      <c r="G1084" s="23"/>
      <c r="H1084" s="23"/>
      <c r="I1084" s="24">
        <f>MIN($I1085:$I1088)</f>
        <v>46402</v>
      </c>
      <c r="J1084" s="24">
        <f>MAX($J1085:$J1088)</f>
        <v>46408</v>
      </c>
    </row>
    <row r="1085" spans="1:10" x14ac:dyDescent="0.25">
      <c r="A1085" s="25" t="s">
        <v>13</v>
      </c>
      <c r="B1085" s="25" t="s">
        <v>352</v>
      </c>
      <c r="C1085" s="25" t="s">
        <v>50</v>
      </c>
      <c r="D1085" s="25" t="s">
        <v>51</v>
      </c>
      <c r="E1085" s="26">
        <v>1</v>
      </c>
      <c r="F1085" s="25" t="s">
        <v>561</v>
      </c>
      <c r="G1085" s="27">
        <f>$H$1080</f>
        <v>11</v>
      </c>
      <c r="H1085" s="27">
        <f>$G1085+$E1085</f>
        <v>12</v>
      </c>
      <c r="I1085" s="28">
        <f>WORKDAY(Settings!$D$14,INT($G1085/HoursPerDay)+1,Holidays)</f>
        <v>46402</v>
      </c>
      <c r="J1085" s="28">
        <f>IF($E1085=0,$I1085,WORKDAY(Settings!$D$14,ROUNDUP($H1085/HoursPerDay,0),Holidays))</f>
        <v>46402</v>
      </c>
    </row>
    <row r="1086" spans="1:10" x14ac:dyDescent="0.25">
      <c r="A1086" s="25" t="s">
        <v>13</v>
      </c>
      <c r="B1086" s="25" t="s">
        <v>155</v>
      </c>
      <c r="C1086" s="25" t="s">
        <v>54</v>
      </c>
      <c r="D1086" s="25" t="s">
        <v>51</v>
      </c>
      <c r="E1086" s="26">
        <v>3</v>
      </c>
      <c r="F1086" s="25" t="s">
        <v>52</v>
      </c>
      <c r="G1086" s="27">
        <f>$H$1081</f>
        <v>37</v>
      </c>
      <c r="H1086" s="27">
        <f>$G1086+$E1086</f>
        <v>40</v>
      </c>
      <c r="I1086" s="28">
        <f>WORKDAY(Settings!$D$14,INT($G1086/HoursPerDay)+1,Holidays)</f>
        <v>46408</v>
      </c>
      <c r="J1086" s="28">
        <f>IF($E1086=0,$I1086,WORKDAY(Settings!$D$14,ROUNDUP($H1086/HoursPerDay,0),Holidays))</f>
        <v>46408</v>
      </c>
    </row>
    <row r="1087" spans="1:10" x14ac:dyDescent="0.25">
      <c r="A1087" s="25" t="s">
        <v>13</v>
      </c>
      <c r="B1087" s="25" t="s">
        <v>156</v>
      </c>
      <c r="C1087" s="25" t="s">
        <v>56</v>
      </c>
      <c r="D1087" s="25" t="s">
        <v>51</v>
      </c>
      <c r="E1087" s="26">
        <v>3</v>
      </c>
      <c r="F1087" s="25" t="s">
        <v>57</v>
      </c>
      <c r="G1087" s="27">
        <f>$H$1082</f>
        <v>30</v>
      </c>
      <c r="H1087" s="27">
        <f>$G1087+$E1087</f>
        <v>33</v>
      </c>
      <c r="I1087" s="28">
        <f>WORKDAY(Settings!$D$14,INT($G1087/HoursPerDay)+1,Holidays)</f>
        <v>46407</v>
      </c>
      <c r="J1087" s="28">
        <f>IF($E1087=0,$I1087,WORKDAY(Settings!$D$14,ROUNDUP($H1087/HoursPerDay,0),Holidays))</f>
        <v>46407</v>
      </c>
    </row>
    <row r="1088" spans="1:10" x14ac:dyDescent="0.25">
      <c r="A1088" s="25" t="s">
        <v>13</v>
      </c>
      <c r="B1088" s="25" t="s">
        <v>466</v>
      </c>
      <c r="C1088" s="25" t="s">
        <v>59</v>
      </c>
      <c r="D1088" s="25" t="s">
        <v>51</v>
      </c>
      <c r="E1088" s="26">
        <v>2</v>
      </c>
      <c r="F1088" s="25" t="s">
        <v>60</v>
      </c>
      <c r="G1088" s="27">
        <f>$H$1083</f>
        <v>22</v>
      </c>
      <c r="H1088" s="27">
        <f>$G1088+$E1088</f>
        <v>24</v>
      </c>
      <c r="I1088" s="28">
        <f>WORKDAY(Settings!$D$14,INT($G1088/HoursPerDay)+1,Holidays)</f>
        <v>46406</v>
      </c>
      <c r="J1088" s="28">
        <f>IF($E1088=0,$I1088,WORKDAY(Settings!$D$14,ROUNDUP($H1088/HoursPerDay,0),Holidays))</f>
        <v>46406</v>
      </c>
    </row>
    <row r="1089" spans="1:10" x14ac:dyDescent="0.25">
      <c r="A1089" s="22" t="s">
        <v>13</v>
      </c>
      <c r="B1089" s="22" t="s">
        <v>157</v>
      </c>
      <c r="C1089" s="22" t="s">
        <v>866</v>
      </c>
      <c r="D1089" s="22" t="s">
        <v>48</v>
      </c>
      <c r="E1089" s="23">
        <f>SUMIF($D1090:$D1092,"Task",$E1090:$E1092)</f>
        <v>9</v>
      </c>
      <c r="F1089" s="22"/>
      <c r="G1089" s="23"/>
      <c r="H1089" s="23"/>
      <c r="I1089" s="24">
        <f>MIN($I1090:$I1092)</f>
        <v>46406</v>
      </c>
      <c r="J1089" s="24">
        <f>MAX($J1090:$J1092)</f>
        <v>46409</v>
      </c>
    </row>
    <row r="1090" spans="1:10" x14ac:dyDescent="0.25">
      <c r="A1090" s="25" t="s">
        <v>13</v>
      </c>
      <c r="B1090" s="25" t="s">
        <v>159</v>
      </c>
      <c r="C1090" s="25" t="s">
        <v>54</v>
      </c>
      <c r="D1090" s="25" t="s">
        <v>51</v>
      </c>
      <c r="E1090" s="26">
        <v>4</v>
      </c>
      <c r="F1090" s="25" t="s">
        <v>52</v>
      </c>
      <c r="G1090" s="27">
        <f>$H$1086</f>
        <v>40</v>
      </c>
      <c r="H1090" s="27">
        <f>$G1090+$E1090</f>
        <v>44</v>
      </c>
      <c r="I1090" s="28">
        <f>WORKDAY(Settings!$D$14,INT($G1090/HoursPerDay)+1,Holidays)</f>
        <v>46408</v>
      </c>
      <c r="J1090" s="28">
        <f>IF($E1090=0,$I1090,WORKDAY(Settings!$D$14,ROUNDUP($H1090/HoursPerDay,0),Holidays))</f>
        <v>46409</v>
      </c>
    </row>
    <row r="1091" spans="1:10" x14ac:dyDescent="0.25">
      <c r="A1091" s="25" t="s">
        <v>13</v>
      </c>
      <c r="B1091" s="25" t="s">
        <v>160</v>
      </c>
      <c r="C1091" s="25" t="s">
        <v>56</v>
      </c>
      <c r="D1091" s="25" t="s">
        <v>51</v>
      </c>
      <c r="E1091" s="26">
        <v>3</v>
      </c>
      <c r="F1091" s="25" t="s">
        <v>57</v>
      </c>
      <c r="G1091" s="27">
        <f>$H$1087</f>
        <v>33</v>
      </c>
      <c r="H1091" s="27">
        <f>$G1091+$E1091</f>
        <v>36</v>
      </c>
      <c r="I1091" s="28">
        <f>WORKDAY(Settings!$D$14,INT($G1091/HoursPerDay)+1,Holidays)</f>
        <v>46407</v>
      </c>
      <c r="J1091" s="28">
        <f>IF($E1091=0,$I1091,WORKDAY(Settings!$D$14,ROUNDUP($H1091/HoursPerDay,0),Holidays))</f>
        <v>46408</v>
      </c>
    </row>
    <row r="1092" spans="1:10" x14ac:dyDescent="0.25">
      <c r="A1092" s="25" t="s">
        <v>13</v>
      </c>
      <c r="B1092" s="25" t="s">
        <v>161</v>
      </c>
      <c r="C1092" s="25" t="s">
        <v>59</v>
      </c>
      <c r="D1092" s="25" t="s">
        <v>51</v>
      </c>
      <c r="E1092" s="26">
        <v>2</v>
      </c>
      <c r="F1092" s="25" t="s">
        <v>60</v>
      </c>
      <c r="G1092" s="27">
        <f>$H$1088</f>
        <v>24</v>
      </c>
      <c r="H1092" s="27">
        <f>$G1092+$E1092</f>
        <v>26</v>
      </c>
      <c r="I1092" s="28">
        <f>WORKDAY(Settings!$D$14,INT($G1092/HoursPerDay)+1,Holidays)</f>
        <v>46406</v>
      </c>
      <c r="J1092" s="28">
        <f>IF($E1092=0,$I1092,WORKDAY(Settings!$D$14,ROUNDUP($H1092/HoursPerDay,0),Holidays))</f>
        <v>46406</v>
      </c>
    </row>
    <row r="1093" spans="1:10" x14ac:dyDescent="0.25">
      <c r="A1093" s="22" t="s">
        <v>13</v>
      </c>
      <c r="B1093" s="22" t="s">
        <v>162</v>
      </c>
      <c r="C1093" s="22" t="s">
        <v>867</v>
      </c>
      <c r="D1093" s="22" t="s">
        <v>48</v>
      </c>
      <c r="E1093" s="23">
        <f>SUMIF($D1094:$D1096,"Task",$E1094:$E1096)</f>
        <v>5</v>
      </c>
      <c r="F1093" s="22"/>
      <c r="G1093" s="23"/>
      <c r="H1093" s="23"/>
      <c r="I1093" s="24">
        <f>MIN($I1094:$I1096)</f>
        <v>46406</v>
      </c>
      <c r="J1093" s="24">
        <f>MAX($J1094:$J1096)</f>
        <v>46409</v>
      </c>
    </row>
    <row r="1094" spans="1:10" x14ac:dyDescent="0.25">
      <c r="A1094" s="25" t="s">
        <v>13</v>
      </c>
      <c r="B1094" s="25" t="s">
        <v>165</v>
      </c>
      <c r="C1094" s="25" t="s">
        <v>54</v>
      </c>
      <c r="D1094" s="25" t="s">
        <v>51</v>
      </c>
      <c r="E1094" s="26">
        <v>2</v>
      </c>
      <c r="F1094" s="25" t="s">
        <v>52</v>
      </c>
      <c r="G1094" s="27">
        <f>$H$1090</f>
        <v>44</v>
      </c>
      <c r="H1094" s="27">
        <f>$G1094+$E1094</f>
        <v>46</v>
      </c>
      <c r="I1094" s="28">
        <f>WORKDAY(Settings!$D$14,INT($G1094/HoursPerDay)+1,Holidays)</f>
        <v>46409</v>
      </c>
      <c r="J1094" s="28">
        <f>IF($E1094=0,$I1094,WORKDAY(Settings!$D$14,ROUNDUP($H1094/HoursPerDay,0),Holidays))</f>
        <v>46409</v>
      </c>
    </row>
    <row r="1095" spans="1:10" x14ac:dyDescent="0.25">
      <c r="A1095" s="25" t="s">
        <v>13</v>
      </c>
      <c r="B1095" s="25" t="s">
        <v>166</v>
      </c>
      <c r="C1095" s="25" t="s">
        <v>56</v>
      </c>
      <c r="D1095" s="25" t="s">
        <v>51</v>
      </c>
      <c r="E1095" s="26">
        <v>2</v>
      </c>
      <c r="F1095" s="25" t="s">
        <v>57</v>
      </c>
      <c r="G1095" s="27">
        <f>$H$1091</f>
        <v>36</v>
      </c>
      <c r="H1095" s="27">
        <f>$G1095+$E1095</f>
        <v>38</v>
      </c>
      <c r="I1095" s="28">
        <f>WORKDAY(Settings!$D$14,INT($G1095/HoursPerDay)+1,Holidays)</f>
        <v>46408</v>
      </c>
      <c r="J1095" s="28">
        <f>IF($E1095=0,$I1095,WORKDAY(Settings!$D$14,ROUNDUP($H1095/HoursPerDay,0),Holidays))</f>
        <v>46408</v>
      </c>
    </row>
    <row r="1096" spans="1:10" x14ac:dyDescent="0.25">
      <c r="A1096" s="25" t="s">
        <v>13</v>
      </c>
      <c r="B1096" s="25" t="s">
        <v>167</v>
      </c>
      <c r="C1096" s="25" t="s">
        <v>59</v>
      </c>
      <c r="D1096" s="25" t="s">
        <v>51</v>
      </c>
      <c r="E1096" s="26">
        <v>1</v>
      </c>
      <c r="F1096" s="25" t="s">
        <v>60</v>
      </c>
      <c r="G1096" s="27">
        <f>$H$1092</f>
        <v>26</v>
      </c>
      <c r="H1096" s="27">
        <f>$G1096+$E1096</f>
        <v>27</v>
      </c>
      <c r="I1096" s="28">
        <f>WORKDAY(Settings!$D$14,INT($G1096/HoursPerDay)+1,Holidays)</f>
        <v>46406</v>
      </c>
      <c r="J1096" s="28">
        <f>IF($E1096=0,$I1096,WORKDAY(Settings!$D$14,ROUNDUP($H1096/HoursPerDay,0),Holidays))</f>
        <v>46406</v>
      </c>
    </row>
    <row r="1097" spans="1:10" x14ac:dyDescent="0.25">
      <c r="A1097" s="22" t="s">
        <v>13</v>
      </c>
      <c r="B1097" s="22" t="s">
        <v>168</v>
      </c>
      <c r="C1097" s="22" t="s">
        <v>868</v>
      </c>
      <c r="D1097" s="22" t="s">
        <v>48</v>
      </c>
      <c r="E1097" s="23">
        <f>SUMIF($D1098:$D1100,"Task",$E1098:$E1100)</f>
        <v>8</v>
      </c>
      <c r="F1097" s="22"/>
      <c r="G1097" s="23"/>
      <c r="H1097" s="23"/>
      <c r="I1097" s="24">
        <f>MIN($I1098:$I1100)</f>
        <v>46406</v>
      </c>
      <c r="J1097" s="24">
        <f>MAX($J1098:$J1100)</f>
        <v>46412</v>
      </c>
    </row>
    <row r="1098" spans="1:10" x14ac:dyDescent="0.25">
      <c r="A1098" s="25" t="s">
        <v>13</v>
      </c>
      <c r="B1098" s="25" t="s">
        <v>171</v>
      </c>
      <c r="C1098" s="25" t="s">
        <v>54</v>
      </c>
      <c r="D1098" s="25" t="s">
        <v>51</v>
      </c>
      <c r="E1098" s="26">
        <v>4</v>
      </c>
      <c r="F1098" s="25" t="s">
        <v>52</v>
      </c>
      <c r="G1098" s="27">
        <f>$H$1094</f>
        <v>46</v>
      </c>
      <c r="H1098" s="27">
        <f>$G1098+$E1098</f>
        <v>50</v>
      </c>
      <c r="I1098" s="28">
        <f>WORKDAY(Settings!$D$14,INT($G1098/HoursPerDay)+1,Holidays)</f>
        <v>46409</v>
      </c>
      <c r="J1098" s="28">
        <f>IF($E1098=0,$I1098,WORKDAY(Settings!$D$14,ROUNDUP($H1098/HoursPerDay,0),Holidays))</f>
        <v>46412</v>
      </c>
    </row>
    <row r="1099" spans="1:10" x14ac:dyDescent="0.25">
      <c r="A1099" s="25" t="s">
        <v>13</v>
      </c>
      <c r="B1099" s="25" t="s">
        <v>172</v>
      </c>
      <c r="C1099" s="25" t="s">
        <v>56</v>
      </c>
      <c r="D1099" s="25" t="s">
        <v>51</v>
      </c>
      <c r="E1099" s="26">
        <v>2</v>
      </c>
      <c r="F1099" s="25" t="s">
        <v>57</v>
      </c>
      <c r="G1099" s="27">
        <f>$H$1095</f>
        <v>38</v>
      </c>
      <c r="H1099" s="27">
        <f>$G1099+$E1099</f>
        <v>40</v>
      </c>
      <c r="I1099" s="28">
        <f>WORKDAY(Settings!$D$14,INT($G1099/HoursPerDay)+1,Holidays)</f>
        <v>46408</v>
      </c>
      <c r="J1099" s="28">
        <f>IF($E1099=0,$I1099,WORKDAY(Settings!$D$14,ROUNDUP($H1099/HoursPerDay,0),Holidays))</f>
        <v>46408</v>
      </c>
    </row>
    <row r="1100" spans="1:10" x14ac:dyDescent="0.25">
      <c r="A1100" s="25" t="s">
        <v>13</v>
      </c>
      <c r="B1100" s="25" t="s">
        <v>869</v>
      </c>
      <c r="C1100" s="25" t="s">
        <v>59</v>
      </c>
      <c r="D1100" s="25" t="s">
        <v>51</v>
      </c>
      <c r="E1100" s="26">
        <v>2</v>
      </c>
      <c r="F1100" s="25" t="s">
        <v>60</v>
      </c>
      <c r="G1100" s="27">
        <f>$H$1096</f>
        <v>27</v>
      </c>
      <c r="H1100" s="27">
        <f>$G1100+$E1100</f>
        <v>29</v>
      </c>
      <c r="I1100" s="28">
        <f>WORKDAY(Settings!$D$14,INT($G1100/HoursPerDay)+1,Holidays)</f>
        <v>46406</v>
      </c>
      <c r="J1100" s="28">
        <f>IF($E1100=0,$I1100,WORKDAY(Settings!$D$14,ROUNDUP($H1100/HoursPerDay,0),Holidays))</f>
        <v>46407</v>
      </c>
    </row>
    <row r="1101" spans="1:10" x14ac:dyDescent="0.25">
      <c r="A1101" s="22" t="s">
        <v>13</v>
      </c>
      <c r="B1101" s="22" t="s">
        <v>619</v>
      </c>
      <c r="C1101" s="22" t="s">
        <v>870</v>
      </c>
      <c r="D1101" s="22" t="s">
        <v>48</v>
      </c>
      <c r="E1101" s="23">
        <f>SUMIF($D1102:$D1103,"Task",$E1102:$E1103)</f>
        <v>7</v>
      </c>
      <c r="F1101" s="22"/>
      <c r="G1101" s="23"/>
      <c r="H1101" s="23"/>
      <c r="I1101" s="24">
        <f>MIN($I1102:$I1103)</f>
        <v>46408</v>
      </c>
      <c r="J1101" s="24">
        <f>MAX($J1102:$J1103)</f>
        <v>46412</v>
      </c>
    </row>
    <row r="1102" spans="1:10" x14ac:dyDescent="0.25">
      <c r="A1102" s="25" t="s">
        <v>13</v>
      </c>
      <c r="B1102" s="25" t="s">
        <v>622</v>
      </c>
      <c r="C1102" s="25" t="s">
        <v>54</v>
      </c>
      <c r="D1102" s="25" t="s">
        <v>51</v>
      </c>
      <c r="E1102" s="26">
        <v>5</v>
      </c>
      <c r="F1102" s="25" t="s">
        <v>52</v>
      </c>
      <c r="G1102" s="27">
        <f>$H$1098</f>
        <v>50</v>
      </c>
      <c r="H1102" s="27">
        <f>$G1102+$E1102</f>
        <v>55</v>
      </c>
      <c r="I1102" s="28">
        <f>WORKDAY(Settings!$D$14,INT($G1102/HoursPerDay)+1,Holidays)</f>
        <v>46412</v>
      </c>
      <c r="J1102" s="28">
        <f>IF($E1102=0,$I1102,WORKDAY(Settings!$D$14,ROUNDUP($H1102/HoursPerDay,0),Holidays))</f>
        <v>46412</v>
      </c>
    </row>
    <row r="1103" spans="1:10" x14ac:dyDescent="0.25">
      <c r="A1103" s="25" t="s">
        <v>13</v>
      </c>
      <c r="B1103" s="25" t="s">
        <v>623</v>
      </c>
      <c r="C1103" s="25" t="s">
        <v>56</v>
      </c>
      <c r="D1103" s="25" t="s">
        <v>51</v>
      </c>
      <c r="E1103" s="26">
        <v>2</v>
      </c>
      <c r="F1103" s="25" t="s">
        <v>57</v>
      </c>
      <c r="G1103" s="27">
        <f>$H$1099</f>
        <v>40</v>
      </c>
      <c r="H1103" s="27">
        <f>$G1103+$E1103</f>
        <v>42</v>
      </c>
      <c r="I1103" s="28">
        <f>WORKDAY(Settings!$D$14,INT($G1103/HoursPerDay)+1,Holidays)</f>
        <v>46408</v>
      </c>
      <c r="J1103" s="28">
        <f>IF($E1103=0,$I1103,WORKDAY(Settings!$D$14,ROUNDUP($H1103/HoursPerDay,0),Holidays))</f>
        <v>46408</v>
      </c>
    </row>
    <row r="1104" spans="1:10" x14ac:dyDescent="0.25">
      <c r="A1104" s="22" t="s">
        <v>13</v>
      </c>
      <c r="B1104" s="22" t="s">
        <v>625</v>
      </c>
      <c r="C1104" s="22" t="s">
        <v>871</v>
      </c>
      <c r="D1104" s="22" t="s">
        <v>48</v>
      </c>
      <c r="E1104" s="23">
        <f>SUMIF($D1105:$D1107,"Task",$E1105:$E1107)</f>
        <v>8</v>
      </c>
      <c r="F1104" s="22"/>
      <c r="G1104" s="23"/>
      <c r="H1104" s="23"/>
      <c r="I1104" s="24">
        <f>MIN($I1105:$I1107)</f>
        <v>46407</v>
      </c>
      <c r="J1104" s="24">
        <f>MAX($J1105:$J1107)</f>
        <v>46414</v>
      </c>
    </row>
    <row r="1105" spans="1:10" x14ac:dyDescent="0.25">
      <c r="A1105" s="25" t="s">
        <v>13</v>
      </c>
      <c r="B1105" s="25" t="s">
        <v>628</v>
      </c>
      <c r="C1105" s="25" t="s">
        <v>54</v>
      </c>
      <c r="D1105" s="25" t="s">
        <v>51</v>
      </c>
      <c r="E1105" s="26">
        <v>2</v>
      </c>
      <c r="F1105" s="25" t="s">
        <v>52</v>
      </c>
      <c r="G1105" s="27">
        <f>$H$1102</f>
        <v>55</v>
      </c>
      <c r="H1105" s="27">
        <f>$G1105+$E1105</f>
        <v>57</v>
      </c>
      <c r="I1105" s="28">
        <f>WORKDAY(Settings!$D$14,INT($G1105/HoursPerDay)+1,Holidays)</f>
        <v>46412</v>
      </c>
      <c r="J1105" s="28">
        <f>IF($E1105=0,$I1105,WORKDAY(Settings!$D$14,ROUNDUP($H1105/HoursPerDay,0),Holidays))</f>
        <v>46414</v>
      </c>
    </row>
    <row r="1106" spans="1:10" x14ac:dyDescent="0.25">
      <c r="A1106" s="25" t="s">
        <v>13</v>
      </c>
      <c r="B1106" s="25" t="s">
        <v>629</v>
      </c>
      <c r="C1106" s="25" t="s">
        <v>56</v>
      </c>
      <c r="D1106" s="25" t="s">
        <v>51</v>
      </c>
      <c r="E1106" s="26">
        <v>4</v>
      </c>
      <c r="F1106" s="25" t="s">
        <v>57</v>
      </c>
      <c r="G1106" s="27">
        <f>$H$1103</f>
        <v>42</v>
      </c>
      <c r="H1106" s="27">
        <f>$G1106+$E1106</f>
        <v>46</v>
      </c>
      <c r="I1106" s="28">
        <f>WORKDAY(Settings!$D$14,INT($G1106/HoursPerDay)+1,Holidays)</f>
        <v>46409</v>
      </c>
      <c r="J1106" s="28">
        <f>IF($E1106=0,$I1106,WORKDAY(Settings!$D$14,ROUNDUP($H1106/HoursPerDay,0),Holidays))</f>
        <v>46409</v>
      </c>
    </row>
    <row r="1107" spans="1:10" x14ac:dyDescent="0.25">
      <c r="A1107" s="25" t="s">
        <v>13</v>
      </c>
      <c r="B1107" s="25" t="s">
        <v>872</v>
      </c>
      <c r="C1107" s="25" t="s">
        <v>59</v>
      </c>
      <c r="D1107" s="25" t="s">
        <v>51</v>
      </c>
      <c r="E1107" s="26">
        <v>2</v>
      </c>
      <c r="F1107" s="25" t="s">
        <v>60</v>
      </c>
      <c r="G1107" s="27">
        <f>$H$1100</f>
        <v>29</v>
      </c>
      <c r="H1107" s="27">
        <f>$G1107+$E1107</f>
        <v>31</v>
      </c>
      <c r="I1107" s="28">
        <f>WORKDAY(Settings!$D$14,INT($G1107/HoursPerDay)+1,Holidays)</f>
        <v>46407</v>
      </c>
      <c r="J1107" s="28">
        <f>IF($E1107=0,$I1107,WORKDAY(Settings!$D$14,ROUNDUP($H1107/HoursPerDay,0),Holidays))</f>
        <v>46407</v>
      </c>
    </row>
    <row r="1108" spans="1:10" x14ac:dyDescent="0.25">
      <c r="A1108" s="22" t="s">
        <v>13</v>
      </c>
      <c r="B1108" s="22" t="s">
        <v>630</v>
      </c>
      <c r="C1108" s="22" t="s">
        <v>873</v>
      </c>
      <c r="D1108" s="22" t="s">
        <v>48</v>
      </c>
      <c r="E1108" s="23">
        <f>SUMIF($D1109:$D1110,"Task",$E1109:$E1110)</f>
        <v>0</v>
      </c>
      <c r="F1108" s="22"/>
      <c r="G1108" s="23"/>
      <c r="H1108" s="23"/>
      <c r="I1108" s="24">
        <f>MIN($I1109:$I1110)</f>
        <v>46407</v>
      </c>
      <c r="J1108" s="24">
        <f>MAX($J1109:$J1110)</f>
        <v>46414</v>
      </c>
    </row>
    <row r="1109" spans="1:10" x14ac:dyDescent="0.25">
      <c r="A1109" s="25" t="s">
        <v>13</v>
      </c>
      <c r="B1109" s="25" t="s">
        <v>633</v>
      </c>
      <c r="C1109" s="25" t="s">
        <v>54</v>
      </c>
      <c r="D1109" s="25" t="s">
        <v>51</v>
      </c>
      <c r="E1109" s="26">
        <v>0</v>
      </c>
      <c r="F1109" s="25" t="s">
        <v>52</v>
      </c>
      <c r="G1109" s="27">
        <f>$H$1105</f>
        <v>57</v>
      </c>
      <c r="H1109" s="27">
        <f>$G1109+$E1109</f>
        <v>57</v>
      </c>
      <c r="I1109" s="28">
        <f>WORKDAY(Settings!$D$14,INT($G1109/HoursPerDay)+1,Holidays)</f>
        <v>46414</v>
      </c>
      <c r="J1109" s="28">
        <f>IF($E1109=0,$I1109,WORKDAY(Settings!$D$14,ROUNDUP($H1109/HoursPerDay,0),Holidays))</f>
        <v>46414</v>
      </c>
    </row>
    <row r="1110" spans="1:10" x14ac:dyDescent="0.25">
      <c r="A1110" s="25" t="s">
        <v>13</v>
      </c>
      <c r="B1110" s="25" t="s">
        <v>874</v>
      </c>
      <c r="C1110" s="25" t="s">
        <v>59</v>
      </c>
      <c r="D1110" s="25" t="s">
        <v>51</v>
      </c>
      <c r="E1110" s="26">
        <v>0</v>
      </c>
      <c r="F1110" s="25" t="s">
        <v>60</v>
      </c>
      <c r="G1110" s="27">
        <f>$H$1107</f>
        <v>31</v>
      </c>
      <c r="H1110" s="27">
        <f>$G1110+$E1110</f>
        <v>31</v>
      </c>
      <c r="I1110" s="28">
        <f>WORKDAY(Settings!$D$14,INT($G1110/HoursPerDay)+1,Holidays)</f>
        <v>46407</v>
      </c>
      <c r="J1110" s="28">
        <f>IF($E1110=0,$I1110,WORKDAY(Settings!$D$14,ROUNDUP($H1110/HoursPerDay,0),Holidays))</f>
        <v>46407</v>
      </c>
    </row>
    <row r="1111" spans="1:10" x14ac:dyDescent="0.25">
      <c r="A1111" s="19" t="s">
        <v>13</v>
      </c>
      <c r="B1111" s="19" t="s">
        <v>173</v>
      </c>
      <c r="C1111" s="19" t="s">
        <v>875</v>
      </c>
      <c r="D1111" s="19" t="s">
        <v>45</v>
      </c>
      <c r="E1111" s="20">
        <f>SUMIF($D1112:$D1150,"Task",$E1112:$E1150)</f>
        <v>77</v>
      </c>
      <c r="F1111" s="19"/>
      <c r="G1111" s="20"/>
      <c r="H1111" s="20"/>
      <c r="I1111" s="21">
        <f>MIN($I1112:$I1150)</f>
        <v>46401</v>
      </c>
      <c r="J1111" s="21">
        <f>MAX($J1112:$J1150)</f>
        <v>46415</v>
      </c>
    </row>
    <row r="1112" spans="1:10" x14ac:dyDescent="0.25">
      <c r="A1112" s="22" t="s">
        <v>13</v>
      </c>
      <c r="B1112" s="22" t="s">
        <v>175</v>
      </c>
      <c r="C1112" s="22" t="s">
        <v>876</v>
      </c>
      <c r="D1112" s="22" t="s">
        <v>48</v>
      </c>
      <c r="E1112" s="23">
        <f>SUMIF($D1113:$D1116,"Task",$E1113:$E1116)</f>
        <v>15</v>
      </c>
      <c r="F1112" s="22"/>
      <c r="G1112" s="23"/>
      <c r="H1112" s="23"/>
      <c r="I1112" s="24">
        <f>MIN($I1113:$I1116)</f>
        <v>46402</v>
      </c>
      <c r="J1112" s="24">
        <f>MAX($J1113:$J1116)</f>
        <v>46414</v>
      </c>
    </row>
    <row r="1113" spans="1:10" x14ac:dyDescent="0.25">
      <c r="A1113" s="25" t="s">
        <v>13</v>
      </c>
      <c r="B1113" s="25" t="s">
        <v>177</v>
      </c>
      <c r="C1113" s="25" t="s">
        <v>50</v>
      </c>
      <c r="D1113" s="25" t="s">
        <v>51</v>
      </c>
      <c r="E1113" s="26">
        <v>4</v>
      </c>
      <c r="F1113" s="25" t="s">
        <v>561</v>
      </c>
      <c r="G1113" s="27">
        <f>$H$1085</f>
        <v>12</v>
      </c>
      <c r="H1113" s="27">
        <f>$G1113+$E1113</f>
        <v>16</v>
      </c>
      <c r="I1113" s="28">
        <f>WORKDAY(Settings!$D$14,INT($G1113/HoursPerDay)+1,Holidays)</f>
        <v>46402</v>
      </c>
      <c r="J1113" s="28">
        <f>IF($E1113=0,$I1113,WORKDAY(Settings!$D$14,ROUNDUP($H1113/HoursPerDay,0),Holidays))</f>
        <v>46405</v>
      </c>
    </row>
    <row r="1114" spans="1:10" x14ac:dyDescent="0.25">
      <c r="A1114" s="25" t="s">
        <v>13</v>
      </c>
      <c r="B1114" s="25" t="s">
        <v>178</v>
      </c>
      <c r="C1114" s="25" t="s">
        <v>54</v>
      </c>
      <c r="D1114" s="25" t="s">
        <v>51</v>
      </c>
      <c r="E1114" s="26">
        <v>5</v>
      </c>
      <c r="F1114" s="25" t="s">
        <v>52</v>
      </c>
      <c r="G1114" s="27">
        <f>$H$1109</f>
        <v>57</v>
      </c>
      <c r="H1114" s="27">
        <f>$G1114+$E1114</f>
        <v>62</v>
      </c>
      <c r="I1114" s="28">
        <f>WORKDAY(Settings!$D$14,INT($G1114/HoursPerDay)+1,Holidays)</f>
        <v>46414</v>
      </c>
      <c r="J1114" s="28">
        <f>IF($E1114=0,$I1114,WORKDAY(Settings!$D$14,ROUNDUP($H1114/HoursPerDay,0),Holidays))</f>
        <v>46414</v>
      </c>
    </row>
    <row r="1115" spans="1:10" x14ac:dyDescent="0.25">
      <c r="A1115" s="25" t="s">
        <v>13</v>
      </c>
      <c r="B1115" s="25" t="s">
        <v>179</v>
      </c>
      <c r="C1115" s="25" t="s">
        <v>56</v>
      </c>
      <c r="D1115" s="25" t="s">
        <v>51</v>
      </c>
      <c r="E1115" s="26">
        <v>4</v>
      </c>
      <c r="F1115" s="25" t="s">
        <v>57</v>
      </c>
      <c r="G1115" s="27">
        <f>$H$1106</f>
        <v>46</v>
      </c>
      <c r="H1115" s="27">
        <f>$G1115+$E1115</f>
        <v>50</v>
      </c>
      <c r="I1115" s="28">
        <f>WORKDAY(Settings!$D$14,INT($G1115/HoursPerDay)+1,Holidays)</f>
        <v>46409</v>
      </c>
      <c r="J1115" s="28">
        <f>IF($E1115=0,$I1115,WORKDAY(Settings!$D$14,ROUNDUP($H1115/HoursPerDay,0),Holidays))</f>
        <v>46412</v>
      </c>
    </row>
    <row r="1116" spans="1:10" x14ac:dyDescent="0.25">
      <c r="A1116" s="25" t="s">
        <v>13</v>
      </c>
      <c r="B1116" s="25" t="s">
        <v>355</v>
      </c>
      <c r="C1116" s="25" t="s">
        <v>59</v>
      </c>
      <c r="D1116" s="25" t="s">
        <v>51</v>
      </c>
      <c r="E1116" s="26">
        <v>2</v>
      </c>
      <c r="F1116" s="25" t="s">
        <v>60</v>
      </c>
      <c r="G1116" s="27">
        <f>$H$1110</f>
        <v>31</v>
      </c>
      <c r="H1116" s="27">
        <f>$G1116+$E1116</f>
        <v>33</v>
      </c>
      <c r="I1116" s="28">
        <f>WORKDAY(Settings!$D$14,INT($G1116/HoursPerDay)+1,Holidays)</f>
        <v>46407</v>
      </c>
      <c r="J1116" s="28">
        <f>IF($E1116=0,$I1116,WORKDAY(Settings!$D$14,ROUNDUP($H1116/HoursPerDay,0),Holidays))</f>
        <v>46407</v>
      </c>
    </row>
    <row r="1117" spans="1:10" x14ac:dyDescent="0.25">
      <c r="A1117" s="22" t="s">
        <v>13</v>
      </c>
      <c r="B1117" s="22" t="s">
        <v>180</v>
      </c>
      <c r="C1117" s="22" t="s">
        <v>877</v>
      </c>
      <c r="D1117" s="22" t="s">
        <v>48</v>
      </c>
      <c r="E1117" s="23">
        <f>SUMIF($D1118:$D1120,"Task",$E1118:$E1120)</f>
        <v>5</v>
      </c>
      <c r="F1117" s="22"/>
      <c r="G1117" s="23"/>
      <c r="H1117" s="23"/>
      <c r="I1117" s="24">
        <f>MIN($I1118:$I1120)</f>
        <v>46407</v>
      </c>
      <c r="J1117" s="24">
        <f>MAX($J1118:$J1120)</f>
        <v>46415</v>
      </c>
    </row>
    <row r="1118" spans="1:10" x14ac:dyDescent="0.25">
      <c r="A1118" s="25" t="s">
        <v>13</v>
      </c>
      <c r="B1118" s="25" t="s">
        <v>183</v>
      </c>
      <c r="C1118" s="25" t="s">
        <v>54</v>
      </c>
      <c r="D1118" s="25" t="s">
        <v>51</v>
      </c>
      <c r="E1118" s="26">
        <v>2</v>
      </c>
      <c r="F1118" s="25" t="s">
        <v>52</v>
      </c>
      <c r="G1118" s="27">
        <f>$H$1114</f>
        <v>62</v>
      </c>
      <c r="H1118" s="27">
        <f>$G1118+$E1118</f>
        <v>64</v>
      </c>
      <c r="I1118" s="28">
        <f>WORKDAY(Settings!$D$14,INT($G1118/HoursPerDay)+1,Holidays)</f>
        <v>46414</v>
      </c>
      <c r="J1118" s="28">
        <f>IF($E1118=0,$I1118,WORKDAY(Settings!$D$14,ROUNDUP($H1118/HoursPerDay,0),Holidays))</f>
        <v>46415</v>
      </c>
    </row>
    <row r="1119" spans="1:10" x14ac:dyDescent="0.25">
      <c r="A1119" s="25" t="s">
        <v>13</v>
      </c>
      <c r="B1119" s="25" t="s">
        <v>184</v>
      </c>
      <c r="C1119" s="25" t="s">
        <v>56</v>
      </c>
      <c r="D1119" s="25" t="s">
        <v>51</v>
      </c>
      <c r="E1119" s="26">
        <v>2</v>
      </c>
      <c r="F1119" s="25" t="s">
        <v>57</v>
      </c>
      <c r="G1119" s="27">
        <f>$H$1115</f>
        <v>50</v>
      </c>
      <c r="H1119" s="27">
        <f>$G1119+$E1119</f>
        <v>52</v>
      </c>
      <c r="I1119" s="28">
        <f>WORKDAY(Settings!$D$14,INT($G1119/HoursPerDay)+1,Holidays)</f>
        <v>46412</v>
      </c>
      <c r="J1119" s="28">
        <f>IF($E1119=0,$I1119,WORKDAY(Settings!$D$14,ROUNDUP($H1119/HoursPerDay,0),Holidays))</f>
        <v>46412</v>
      </c>
    </row>
    <row r="1120" spans="1:10" x14ac:dyDescent="0.25">
      <c r="A1120" s="25" t="s">
        <v>13</v>
      </c>
      <c r="B1120" s="25" t="s">
        <v>471</v>
      </c>
      <c r="C1120" s="25" t="s">
        <v>59</v>
      </c>
      <c r="D1120" s="25" t="s">
        <v>51</v>
      </c>
      <c r="E1120" s="26">
        <v>1</v>
      </c>
      <c r="F1120" s="25" t="s">
        <v>60</v>
      </c>
      <c r="G1120" s="27">
        <f>$H$1116</f>
        <v>33</v>
      </c>
      <c r="H1120" s="27">
        <f>$G1120+$E1120</f>
        <v>34</v>
      </c>
      <c r="I1120" s="28">
        <f>WORKDAY(Settings!$D$14,INT($G1120/HoursPerDay)+1,Holidays)</f>
        <v>46407</v>
      </c>
      <c r="J1120" s="28">
        <f>IF($E1120=0,$I1120,WORKDAY(Settings!$D$14,ROUNDUP($H1120/HoursPerDay,0),Holidays))</f>
        <v>46407</v>
      </c>
    </row>
    <row r="1121" spans="1:10" x14ac:dyDescent="0.25">
      <c r="A1121" s="22" t="s">
        <v>13</v>
      </c>
      <c r="B1121" s="22" t="s">
        <v>185</v>
      </c>
      <c r="C1121" s="22" t="s">
        <v>878</v>
      </c>
      <c r="D1121" s="22" t="s">
        <v>48</v>
      </c>
      <c r="E1121" s="23">
        <f>SUMIF($D1122:$D1125,"Task",$E1122:$E1125)</f>
        <v>13</v>
      </c>
      <c r="F1121" s="22"/>
      <c r="G1121" s="23"/>
      <c r="H1121" s="23"/>
      <c r="I1121" s="24">
        <f>MIN($I1122:$I1125)</f>
        <v>46401</v>
      </c>
      <c r="J1121" s="24">
        <f>MAX($J1122:$J1125)</f>
        <v>46412</v>
      </c>
    </row>
    <row r="1122" spans="1:10" x14ac:dyDescent="0.25">
      <c r="A1122" s="25" t="s">
        <v>13</v>
      </c>
      <c r="B1122" s="25" t="s">
        <v>358</v>
      </c>
      <c r="C1122" s="25" t="s">
        <v>50</v>
      </c>
      <c r="D1122" s="25" t="s">
        <v>51</v>
      </c>
      <c r="E1122" s="26">
        <v>1</v>
      </c>
      <c r="F1122" s="25" t="s">
        <v>561</v>
      </c>
      <c r="G1122" s="27">
        <f>$H$1113</f>
        <v>16</v>
      </c>
      <c r="H1122" s="27">
        <f>$G1122+$E1122</f>
        <v>17</v>
      </c>
      <c r="I1122" s="28">
        <f>WORKDAY(Settings!$D$14,INT($G1122/HoursPerDay)+1,Holidays)</f>
        <v>46405</v>
      </c>
      <c r="J1122" s="28">
        <f>IF($E1122=0,$I1122,WORKDAY(Settings!$D$14,ROUNDUP($H1122/HoursPerDay,0),Holidays))</f>
        <v>46405</v>
      </c>
    </row>
    <row r="1123" spans="1:10" x14ac:dyDescent="0.25">
      <c r="A1123" s="25" t="s">
        <v>13</v>
      </c>
      <c r="B1123" s="25" t="s">
        <v>187</v>
      </c>
      <c r="C1123" s="25" t="s">
        <v>54</v>
      </c>
      <c r="D1123" s="25" t="s">
        <v>51</v>
      </c>
      <c r="E1123" s="26">
        <v>5</v>
      </c>
      <c r="F1123" s="25" t="s">
        <v>78</v>
      </c>
      <c r="G1123" s="27">
        <f>0</f>
        <v>0</v>
      </c>
      <c r="H1123" s="27">
        <f>$G1123+$E1123</f>
        <v>5</v>
      </c>
      <c r="I1123" s="28">
        <f>WORKDAY(Settings!$D$14,INT($G1123/HoursPerDay)+1,Holidays)</f>
        <v>46401</v>
      </c>
      <c r="J1123" s="28">
        <f>IF($E1123=0,$I1123,WORKDAY(Settings!$D$14,ROUNDUP($H1123/HoursPerDay,0),Holidays))</f>
        <v>46401</v>
      </c>
    </row>
    <row r="1124" spans="1:10" x14ac:dyDescent="0.25">
      <c r="A1124" s="25" t="s">
        <v>13</v>
      </c>
      <c r="B1124" s="25" t="s">
        <v>188</v>
      </c>
      <c r="C1124" s="25" t="s">
        <v>56</v>
      </c>
      <c r="D1124" s="25" t="s">
        <v>51</v>
      </c>
      <c r="E1124" s="26">
        <v>4</v>
      </c>
      <c r="F1124" s="25" t="s">
        <v>57</v>
      </c>
      <c r="G1124" s="27">
        <f>$H$1119</f>
        <v>52</v>
      </c>
      <c r="H1124" s="27">
        <f>$G1124+$E1124</f>
        <v>56</v>
      </c>
      <c r="I1124" s="28">
        <f>WORKDAY(Settings!$D$14,INT($G1124/HoursPerDay)+1,Holidays)</f>
        <v>46412</v>
      </c>
      <c r="J1124" s="28">
        <f>IF($E1124=0,$I1124,WORKDAY(Settings!$D$14,ROUNDUP($H1124/HoursPerDay,0),Holidays))</f>
        <v>46412</v>
      </c>
    </row>
    <row r="1125" spans="1:10" x14ac:dyDescent="0.25">
      <c r="A1125" s="25" t="s">
        <v>13</v>
      </c>
      <c r="B1125" s="25" t="s">
        <v>473</v>
      </c>
      <c r="C1125" s="25" t="s">
        <v>59</v>
      </c>
      <c r="D1125" s="25" t="s">
        <v>51</v>
      </c>
      <c r="E1125" s="26">
        <v>3</v>
      </c>
      <c r="F1125" s="25" t="s">
        <v>60</v>
      </c>
      <c r="G1125" s="27">
        <f>$H$1120</f>
        <v>34</v>
      </c>
      <c r="H1125" s="27">
        <f>$G1125+$E1125</f>
        <v>37</v>
      </c>
      <c r="I1125" s="28">
        <f>WORKDAY(Settings!$D$14,INT($G1125/HoursPerDay)+1,Holidays)</f>
        <v>46407</v>
      </c>
      <c r="J1125" s="28">
        <f>IF($E1125=0,$I1125,WORKDAY(Settings!$D$14,ROUNDUP($H1125/HoursPerDay,0),Holidays))</f>
        <v>46408</v>
      </c>
    </row>
    <row r="1126" spans="1:10" x14ac:dyDescent="0.25">
      <c r="A1126" s="22" t="s">
        <v>13</v>
      </c>
      <c r="B1126" s="22" t="s">
        <v>189</v>
      </c>
      <c r="C1126" s="22" t="s">
        <v>879</v>
      </c>
      <c r="D1126" s="22" t="s">
        <v>48</v>
      </c>
      <c r="E1126" s="23">
        <f>SUMIF($D1127:$D1130,"Task",$E1127:$E1130)</f>
        <v>10</v>
      </c>
      <c r="F1126" s="22"/>
      <c r="G1126" s="23"/>
      <c r="H1126" s="23"/>
      <c r="I1126" s="24">
        <f>MIN($I1127:$I1130)</f>
        <v>46401</v>
      </c>
      <c r="J1126" s="24">
        <f>MAX($J1127:$J1130)</f>
        <v>46406</v>
      </c>
    </row>
    <row r="1127" spans="1:10" x14ac:dyDescent="0.25">
      <c r="A1127" s="25" t="s">
        <v>13</v>
      </c>
      <c r="B1127" s="25" t="s">
        <v>191</v>
      </c>
      <c r="C1127" s="25" t="s">
        <v>50</v>
      </c>
      <c r="D1127" s="25" t="s">
        <v>51</v>
      </c>
      <c r="E1127" s="26">
        <v>1</v>
      </c>
      <c r="F1127" s="25" t="s">
        <v>561</v>
      </c>
      <c r="G1127" s="27">
        <f>$H$1122</f>
        <v>17</v>
      </c>
      <c r="H1127" s="27">
        <f>$G1127+$E1127</f>
        <v>18</v>
      </c>
      <c r="I1127" s="28">
        <f>WORKDAY(Settings!$D$14,INT($G1127/HoursPerDay)+1,Holidays)</f>
        <v>46405</v>
      </c>
      <c r="J1127" s="28">
        <f>IF($E1127=0,$I1127,WORKDAY(Settings!$D$14,ROUNDUP($H1127/HoursPerDay,0),Holidays))</f>
        <v>46405</v>
      </c>
    </row>
    <row r="1128" spans="1:10" x14ac:dyDescent="0.25">
      <c r="A1128" s="25" t="s">
        <v>13</v>
      </c>
      <c r="B1128" s="25" t="s">
        <v>192</v>
      </c>
      <c r="C1128" s="25" t="s">
        <v>54</v>
      </c>
      <c r="D1128" s="25" t="s">
        <v>51</v>
      </c>
      <c r="E1128" s="26">
        <v>4</v>
      </c>
      <c r="F1128" s="25" t="s">
        <v>78</v>
      </c>
      <c r="G1128" s="27">
        <f>$H$1123</f>
        <v>5</v>
      </c>
      <c r="H1128" s="27">
        <f>$G1128+$E1128</f>
        <v>9</v>
      </c>
      <c r="I1128" s="28">
        <f>WORKDAY(Settings!$D$14,INT($G1128/HoursPerDay)+1,Holidays)</f>
        <v>46401</v>
      </c>
      <c r="J1128" s="28">
        <f>IF($E1128=0,$I1128,WORKDAY(Settings!$D$14,ROUNDUP($H1128/HoursPerDay,0),Holidays))</f>
        <v>46402</v>
      </c>
    </row>
    <row r="1129" spans="1:10" x14ac:dyDescent="0.25">
      <c r="A1129" s="25" t="s">
        <v>13</v>
      </c>
      <c r="B1129" s="25" t="s">
        <v>193</v>
      </c>
      <c r="C1129" s="25" t="s">
        <v>56</v>
      </c>
      <c r="D1129" s="25" t="s">
        <v>51</v>
      </c>
      <c r="E1129" s="26">
        <v>3</v>
      </c>
      <c r="F1129" s="25" t="s">
        <v>561</v>
      </c>
      <c r="G1129" s="27">
        <f>$H$1127</f>
        <v>18</v>
      </c>
      <c r="H1129" s="27">
        <f>$G1129+$E1129</f>
        <v>21</v>
      </c>
      <c r="I1129" s="28">
        <f>WORKDAY(Settings!$D$14,INT($G1129/HoursPerDay)+1,Holidays)</f>
        <v>46405</v>
      </c>
      <c r="J1129" s="28">
        <f>IF($E1129=0,$I1129,WORKDAY(Settings!$D$14,ROUNDUP($H1129/HoursPerDay,0),Holidays))</f>
        <v>46405</v>
      </c>
    </row>
    <row r="1130" spans="1:10" x14ac:dyDescent="0.25">
      <c r="A1130" s="25" t="s">
        <v>13</v>
      </c>
      <c r="B1130" s="25" t="s">
        <v>194</v>
      </c>
      <c r="C1130" s="25" t="s">
        <v>59</v>
      </c>
      <c r="D1130" s="25" t="s">
        <v>51</v>
      </c>
      <c r="E1130" s="26">
        <v>2</v>
      </c>
      <c r="F1130" s="25" t="s">
        <v>561</v>
      </c>
      <c r="G1130" s="27">
        <f>$H$1129</f>
        <v>21</v>
      </c>
      <c r="H1130" s="27">
        <f>$G1130+$E1130</f>
        <v>23</v>
      </c>
      <c r="I1130" s="28">
        <f>WORKDAY(Settings!$D$14,INT($G1130/HoursPerDay)+1,Holidays)</f>
        <v>46406</v>
      </c>
      <c r="J1130" s="28">
        <f>IF($E1130=0,$I1130,WORKDAY(Settings!$D$14,ROUNDUP($H1130/HoursPerDay,0),Holidays))</f>
        <v>46406</v>
      </c>
    </row>
    <row r="1131" spans="1:10" x14ac:dyDescent="0.25">
      <c r="A1131" s="22" t="s">
        <v>13</v>
      </c>
      <c r="B1131" s="22" t="s">
        <v>195</v>
      </c>
      <c r="C1131" s="22" t="s">
        <v>880</v>
      </c>
      <c r="D1131" s="22" t="s">
        <v>48</v>
      </c>
      <c r="E1131" s="23">
        <f>SUMIF($D1132:$D1133,"Task",$E1132:$E1133)</f>
        <v>7</v>
      </c>
      <c r="F1131" s="22"/>
      <c r="G1131" s="23"/>
      <c r="H1131" s="23"/>
      <c r="I1131" s="24">
        <f>MIN($I1132:$I1133)</f>
        <v>46402</v>
      </c>
      <c r="J1131" s="24">
        <f>MAX($J1132:$J1133)</f>
        <v>46406</v>
      </c>
    </row>
    <row r="1132" spans="1:10" x14ac:dyDescent="0.25">
      <c r="A1132" s="25" t="s">
        <v>13</v>
      </c>
      <c r="B1132" s="25" t="s">
        <v>198</v>
      </c>
      <c r="C1132" s="25" t="s">
        <v>54</v>
      </c>
      <c r="D1132" s="25" t="s">
        <v>51</v>
      </c>
      <c r="E1132" s="26">
        <v>5</v>
      </c>
      <c r="F1132" s="25" t="s">
        <v>78</v>
      </c>
      <c r="G1132" s="27">
        <f>$H$1128</f>
        <v>9</v>
      </c>
      <c r="H1132" s="27">
        <f>$G1132+$E1132</f>
        <v>14</v>
      </c>
      <c r="I1132" s="28">
        <f>WORKDAY(Settings!$D$14,INT($G1132/HoursPerDay)+1,Holidays)</f>
        <v>46402</v>
      </c>
      <c r="J1132" s="28">
        <f>IF($E1132=0,$I1132,WORKDAY(Settings!$D$14,ROUNDUP($H1132/HoursPerDay,0),Holidays))</f>
        <v>46402</v>
      </c>
    </row>
    <row r="1133" spans="1:10" x14ac:dyDescent="0.25">
      <c r="A1133" s="25" t="s">
        <v>13</v>
      </c>
      <c r="B1133" s="25" t="s">
        <v>199</v>
      </c>
      <c r="C1133" s="25" t="s">
        <v>56</v>
      </c>
      <c r="D1133" s="25" t="s">
        <v>51</v>
      </c>
      <c r="E1133" s="26">
        <v>2</v>
      </c>
      <c r="F1133" s="25" t="s">
        <v>561</v>
      </c>
      <c r="G1133" s="27">
        <f>$H$1130</f>
        <v>23</v>
      </c>
      <c r="H1133" s="27">
        <f>$G1133+$E1133</f>
        <v>25</v>
      </c>
      <c r="I1133" s="28">
        <f>WORKDAY(Settings!$D$14,INT($G1133/HoursPerDay)+1,Holidays)</f>
        <v>46406</v>
      </c>
      <c r="J1133" s="28">
        <f>IF($E1133=0,$I1133,WORKDAY(Settings!$D$14,ROUNDUP($H1133/HoursPerDay,0),Holidays))</f>
        <v>46406</v>
      </c>
    </row>
    <row r="1134" spans="1:10" x14ac:dyDescent="0.25">
      <c r="A1134" s="22" t="s">
        <v>13</v>
      </c>
      <c r="B1134" s="22" t="s">
        <v>200</v>
      </c>
      <c r="C1134" s="22" t="s">
        <v>881</v>
      </c>
      <c r="D1134" s="22" t="s">
        <v>48</v>
      </c>
      <c r="E1134" s="23">
        <f>SUMIF($D1135:$D1137,"Task",$E1135:$E1137)</f>
        <v>5</v>
      </c>
      <c r="F1134" s="22"/>
      <c r="G1134" s="23"/>
      <c r="H1134" s="23"/>
      <c r="I1134" s="24">
        <f>MIN($I1135:$I1137)</f>
        <v>46405</v>
      </c>
      <c r="J1134" s="24">
        <f>MAX($J1135:$J1137)</f>
        <v>46406</v>
      </c>
    </row>
    <row r="1135" spans="1:10" x14ac:dyDescent="0.25">
      <c r="A1135" s="25" t="s">
        <v>13</v>
      </c>
      <c r="B1135" s="25" t="s">
        <v>203</v>
      </c>
      <c r="C1135" s="25" t="s">
        <v>54</v>
      </c>
      <c r="D1135" s="25" t="s">
        <v>51</v>
      </c>
      <c r="E1135" s="26">
        <v>3</v>
      </c>
      <c r="F1135" s="25" t="s">
        <v>78</v>
      </c>
      <c r="G1135" s="27">
        <f>$H$1132</f>
        <v>14</v>
      </c>
      <c r="H1135" s="27">
        <f>$G1135+$E1135</f>
        <v>17</v>
      </c>
      <c r="I1135" s="28">
        <f>WORKDAY(Settings!$D$14,INT($G1135/HoursPerDay)+1,Holidays)</f>
        <v>46405</v>
      </c>
      <c r="J1135" s="28">
        <f>IF($E1135=0,$I1135,WORKDAY(Settings!$D$14,ROUNDUP($H1135/HoursPerDay,0),Holidays))</f>
        <v>46405</v>
      </c>
    </row>
    <row r="1136" spans="1:10" x14ac:dyDescent="0.25">
      <c r="A1136" s="25" t="s">
        <v>13</v>
      </c>
      <c r="B1136" s="25" t="s">
        <v>204</v>
      </c>
      <c r="C1136" s="25" t="s">
        <v>56</v>
      </c>
      <c r="D1136" s="25" t="s">
        <v>51</v>
      </c>
      <c r="E1136" s="26">
        <v>1</v>
      </c>
      <c r="F1136" s="25" t="s">
        <v>561</v>
      </c>
      <c r="G1136" s="27">
        <f>$H$1133</f>
        <v>25</v>
      </c>
      <c r="H1136" s="27">
        <f>$G1136+$E1136</f>
        <v>26</v>
      </c>
      <c r="I1136" s="28">
        <f>WORKDAY(Settings!$D$14,INT($G1136/HoursPerDay)+1,Holidays)</f>
        <v>46406</v>
      </c>
      <c r="J1136" s="28">
        <f>IF($E1136=0,$I1136,WORKDAY(Settings!$D$14,ROUNDUP($H1136/HoursPerDay,0),Holidays))</f>
        <v>46406</v>
      </c>
    </row>
    <row r="1137" spans="1:10" x14ac:dyDescent="0.25">
      <c r="A1137" s="25" t="s">
        <v>13</v>
      </c>
      <c r="B1137" s="25" t="s">
        <v>643</v>
      </c>
      <c r="C1137" s="25" t="s">
        <v>59</v>
      </c>
      <c r="D1137" s="25" t="s">
        <v>51</v>
      </c>
      <c r="E1137" s="26">
        <v>1</v>
      </c>
      <c r="F1137" s="25" t="s">
        <v>561</v>
      </c>
      <c r="G1137" s="27">
        <f>$H$1136</f>
        <v>26</v>
      </c>
      <c r="H1137" s="27">
        <f>$G1137+$E1137</f>
        <v>27</v>
      </c>
      <c r="I1137" s="28">
        <f>WORKDAY(Settings!$D$14,INT($G1137/HoursPerDay)+1,Holidays)</f>
        <v>46406</v>
      </c>
      <c r="J1137" s="28">
        <f>IF($E1137=0,$I1137,WORKDAY(Settings!$D$14,ROUNDUP($H1137/HoursPerDay,0),Holidays))</f>
        <v>46406</v>
      </c>
    </row>
    <row r="1138" spans="1:10" x14ac:dyDescent="0.25">
      <c r="A1138" s="22" t="s">
        <v>13</v>
      </c>
      <c r="B1138" s="22" t="s">
        <v>644</v>
      </c>
      <c r="C1138" s="22" t="s">
        <v>882</v>
      </c>
      <c r="D1138" s="22" t="s">
        <v>48</v>
      </c>
      <c r="E1138" s="23">
        <f>SUMIF($D1139:$D1141,"Task",$E1139:$E1141)</f>
        <v>5</v>
      </c>
      <c r="F1138" s="22"/>
      <c r="G1138" s="23"/>
      <c r="H1138" s="23"/>
      <c r="I1138" s="24">
        <f>MIN($I1139:$I1141)</f>
        <v>46405</v>
      </c>
      <c r="J1138" s="24">
        <f>MAX($J1139:$J1141)</f>
        <v>46407</v>
      </c>
    </row>
    <row r="1139" spans="1:10" x14ac:dyDescent="0.25">
      <c r="A1139" s="25" t="s">
        <v>13</v>
      </c>
      <c r="B1139" s="25" t="s">
        <v>647</v>
      </c>
      <c r="C1139" s="25" t="s">
        <v>54</v>
      </c>
      <c r="D1139" s="25" t="s">
        <v>51</v>
      </c>
      <c r="E1139" s="26">
        <v>2</v>
      </c>
      <c r="F1139" s="25" t="s">
        <v>78</v>
      </c>
      <c r="G1139" s="27">
        <f>$H$1135</f>
        <v>17</v>
      </c>
      <c r="H1139" s="27">
        <f>$G1139+$E1139</f>
        <v>19</v>
      </c>
      <c r="I1139" s="28">
        <f>WORKDAY(Settings!$D$14,INT($G1139/HoursPerDay)+1,Holidays)</f>
        <v>46405</v>
      </c>
      <c r="J1139" s="28">
        <f>IF($E1139=0,$I1139,WORKDAY(Settings!$D$14,ROUNDUP($H1139/HoursPerDay,0),Holidays))</f>
        <v>46405</v>
      </c>
    </row>
    <row r="1140" spans="1:10" x14ac:dyDescent="0.25">
      <c r="A1140" s="25" t="s">
        <v>13</v>
      </c>
      <c r="B1140" s="25" t="s">
        <v>648</v>
      </c>
      <c r="C1140" s="25" t="s">
        <v>56</v>
      </c>
      <c r="D1140" s="25" t="s">
        <v>51</v>
      </c>
      <c r="E1140" s="26">
        <v>2</v>
      </c>
      <c r="F1140" s="25" t="s">
        <v>561</v>
      </c>
      <c r="G1140" s="27">
        <f>$H$1137</f>
        <v>27</v>
      </c>
      <c r="H1140" s="27">
        <f>$G1140+$E1140</f>
        <v>29</v>
      </c>
      <c r="I1140" s="28">
        <f>WORKDAY(Settings!$D$14,INT($G1140/HoursPerDay)+1,Holidays)</f>
        <v>46406</v>
      </c>
      <c r="J1140" s="28">
        <f>IF($E1140=0,$I1140,WORKDAY(Settings!$D$14,ROUNDUP($H1140/HoursPerDay,0),Holidays))</f>
        <v>46407</v>
      </c>
    </row>
    <row r="1141" spans="1:10" x14ac:dyDescent="0.25">
      <c r="A1141" s="25" t="s">
        <v>13</v>
      </c>
      <c r="B1141" s="25" t="s">
        <v>649</v>
      </c>
      <c r="C1141" s="25" t="s">
        <v>59</v>
      </c>
      <c r="D1141" s="25" t="s">
        <v>51</v>
      </c>
      <c r="E1141" s="26">
        <v>1</v>
      </c>
      <c r="F1141" s="25" t="s">
        <v>561</v>
      </c>
      <c r="G1141" s="27">
        <f>$H$1140</f>
        <v>29</v>
      </c>
      <c r="H1141" s="27">
        <f>$G1141+$E1141</f>
        <v>30</v>
      </c>
      <c r="I1141" s="28">
        <f>WORKDAY(Settings!$D$14,INT($G1141/HoursPerDay)+1,Holidays)</f>
        <v>46407</v>
      </c>
      <c r="J1141" s="28">
        <f>IF($E1141=0,$I1141,WORKDAY(Settings!$D$14,ROUNDUP($H1141/HoursPerDay,0),Holidays))</f>
        <v>46407</v>
      </c>
    </row>
    <row r="1142" spans="1:10" x14ac:dyDescent="0.25">
      <c r="A1142" s="22" t="s">
        <v>13</v>
      </c>
      <c r="B1142" s="22" t="s">
        <v>650</v>
      </c>
      <c r="C1142" s="22" t="s">
        <v>883</v>
      </c>
      <c r="D1142" s="22" t="s">
        <v>48</v>
      </c>
      <c r="E1142" s="23">
        <f>SUMIF($D1143:$D1145,"Task",$E1143:$E1145)</f>
        <v>7</v>
      </c>
      <c r="F1142" s="22"/>
      <c r="G1142" s="23"/>
      <c r="H1142" s="23"/>
      <c r="I1142" s="24">
        <f>MIN($I1143:$I1145)</f>
        <v>46405</v>
      </c>
      <c r="J1142" s="24">
        <f>MAX($J1143:$J1145)</f>
        <v>46407</v>
      </c>
    </row>
    <row r="1143" spans="1:10" x14ac:dyDescent="0.25">
      <c r="A1143" s="25" t="s">
        <v>13</v>
      </c>
      <c r="B1143" s="25" t="s">
        <v>653</v>
      </c>
      <c r="C1143" s="25" t="s">
        <v>54</v>
      </c>
      <c r="D1143" s="25" t="s">
        <v>51</v>
      </c>
      <c r="E1143" s="26">
        <v>2</v>
      </c>
      <c r="F1143" s="25" t="s">
        <v>78</v>
      </c>
      <c r="G1143" s="27">
        <f>$H$1139</f>
        <v>19</v>
      </c>
      <c r="H1143" s="27">
        <f>$G1143+$E1143</f>
        <v>21</v>
      </c>
      <c r="I1143" s="28">
        <f>WORKDAY(Settings!$D$14,INT($G1143/HoursPerDay)+1,Holidays)</f>
        <v>46405</v>
      </c>
      <c r="J1143" s="28">
        <f>IF($E1143=0,$I1143,WORKDAY(Settings!$D$14,ROUNDUP($H1143/HoursPerDay,0),Holidays))</f>
        <v>46405</v>
      </c>
    </row>
    <row r="1144" spans="1:10" x14ac:dyDescent="0.25">
      <c r="A1144" s="25" t="s">
        <v>13</v>
      </c>
      <c r="B1144" s="25" t="s">
        <v>654</v>
      </c>
      <c r="C1144" s="25" t="s">
        <v>56</v>
      </c>
      <c r="D1144" s="25" t="s">
        <v>51</v>
      </c>
      <c r="E1144" s="26">
        <v>3</v>
      </c>
      <c r="F1144" s="25" t="s">
        <v>561</v>
      </c>
      <c r="G1144" s="27">
        <f>$H$1141</f>
        <v>30</v>
      </c>
      <c r="H1144" s="27">
        <f>$G1144+$E1144</f>
        <v>33</v>
      </c>
      <c r="I1144" s="28">
        <f>WORKDAY(Settings!$D$14,INT($G1144/HoursPerDay)+1,Holidays)</f>
        <v>46407</v>
      </c>
      <c r="J1144" s="28">
        <f>IF($E1144=0,$I1144,WORKDAY(Settings!$D$14,ROUNDUP($H1144/HoursPerDay,0),Holidays))</f>
        <v>46407</v>
      </c>
    </row>
    <row r="1145" spans="1:10" x14ac:dyDescent="0.25">
      <c r="A1145" s="25" t="s">
        <v>13</v>
      </c>
      <c r="B1145" s="25" t="s">
        <v>655</v>
      </c>
      <c r="C1145" s="25" t="s">
        <v>59</v>
      </c>
      <c r="D1145" s="25" t="s">
        <v>51</v>
      </c>
      <c r="E1145" s="26">
        <v>2</v>
      </c>
      <c r="F1145" s="25" t="s">
        <v>561</v>
      </c>
      <c r="G1145" s="27">
        <f>$H$1144</f>
        <v>33</v>
      </c>
      <c r="H1145" s="27">
        <f>$G1145+$E1145</f>
        <v>35</v>
      </c>
      <c r="I1145" s="28">
        <f>WORKDAY(Settings!$D$14,INT($G1145/HoursPerDay)+1,Holidays)</f>
        <v>46407</v>
      </c>
      <c r="J1145" s="28">
        <f>IF($E1145=0,$I1145,WORKDAY(Settings!$D$14,ROUNDUP($H1145/HoursPerDay,0),Holidays))</f>
        <v>46407</v>
      </c>
    </row>
    <row r="1146" spans="1:10" x14ac:dyDescent="0.25">
      <c r="A1146" s="22" t="s">
        <v>13</v>
      </c>
      <c r="B1146" s="22" t="s">
        <v>656</v>
      </c>
      <c r="C1146" s="22" t="s">
        <v>884</v>
      </c>
      <c r="D1146" s="22" t="s">
        <v>48</v>
      </c>
      <c r="E1146" s="23">
        <f>SUMIF($D1147:$D1150,"Task",$E1147:$E1150)</f>
        <v>10</v>
      </c>
      <c r="F1146" s="22"/>
      <c r="G1146" s="23"/>
      <c r="H1146" s="23"/>
      <c r="I1146" s="24">
        <f>MIN($I1147:$I1150)</f>
        <v>46406</v>
      </c>
      <c r="J1146" s="24">
        <f>MAX($J1147:$J1150)</f>
        <v>46408</v>
      </c>
    </row>
    <row r="1147" spans="1:10" x14ac:dyDescent="0.25">
      <c r="A1147" s="25" t="s">
        <v>13</v>
      </c>
      <c r="B1147" s="25" t="s">
        <v>658</v>
      </c>
      <c r="C1147" s="25" t="s">
        <v>50</v>
      </c>
      <c r="D1147" s="25" t="s">
        <v>51</v>
      </c>
      <c r="E1147" s="26">
        <v>1</v>
      </c>
      <c r="F1147" s="25" t="s">
        <v>561</v>
      </c>
      <c r="G1147" s="27">
        <f>$H$1145</f>
        <v>35</v>
      </c>
      <c r="H1147" s="27">
        <f>$G1147+$E1147</f>
        <v>36</v>
      </c>
      <c r="I1147" s="28">
        <f>WORKDAY(Settings!$D$14,INT($G1147/HoursPerDay)+1,Holidays)</f>
        <v>46408</v>
      </c>
      <c r="J1147" s="28">
        <f>IF($E1147=0,$I1147,WORKDAY(Settings!$D$14,ROUNDUP($H1147/HoursPerDay,0),Holidays))</f>
        <v>46408</v>
      </c>
    </row>
    <row r="1148" spans="1:10" x14ac:dyDescent="0.25">
      <c r="A1148" s="25" t="s">
        <v>13</v>
      </c>
      <c r="B1148" s="25" t="s">
        <v>659</v>
      </c>
      <c r="C1148" s="25" t="s">
        <v>54</v>
      </c>
      <c r="D1148" s="25" t="s">
        <v>51</v>
      </c>
      <c r="E1148" s="26">
        <v>3</v>
      </c>
      <c r="F1148" s="25" t="s">
        <v>78</v>
      </c>
      <c r="G1148" s="27">
        <f>$H$1143</f>
        <v>21</v>
      </c>
      <c r="H1148" s="27">
        <f>$G1148+$E1148</f>
        <v>24</v>
      </c>
      <c r="I1148" s="28">
        <f>WORKDAY(Settings!$D$14,INT($G1148/HoursPerDay)+1,Holidays)</f>
        <v>46406</v>
      </c>
      <c r="J1148" s="28">
        <f>IF($E1148=0,$I1148,WORKDAY(Settings!$D$14,ROUNDUP($H1148/HoursPerDay,0),Holidays))</f>
        <v>46406</v>
      </c>
    </row>
    <row r="1149" spans="1:10" x14ac:dyDescent="0.25">
      <c r="A1149" s="25" t="s">
        <v>13</v>
      </c>
      <c r="B1149" s="25" t="s">
        <v>660</v>
      </c>
      <c r="C1149" s="25" t="s">
        <v>56</v>
      </c>
      <c r="D1149" s="25" t="s">
        <v>51</v>
      </c>
      <c r="E1149" s="26">
        <v>4</v>
      </c>
      <c r="F1149" s="25" t="s">
        <v>561</v>
      </c>
      <c r="G1149" s="27">
        <f>$H$1147</f>
        <v>36</v>
      </c>
      <c r="H1149" s="27">
        <f>$G1149+$E1149</f>
        <v>40</v>
      </c>
      <c r="I1149" s="28">
        <f>WORKDAY(Settings!$D$14,INT($G1149/HoursPerDay)+1,Holidays)</f>
        <v>46408</v>
      </c>
      <c r="J1149" s="28">
        <f>IF($E1149=0,$I1149,WORKDAY(Settings!$D$14,ROUNDUP($H1149/HoursPerDay,0),Holidays))</f>
        <v>46408</v>
      </c>
    </row>
    <row r="1150" spans="1:10" x14ac:dyDescent="0.25">
      <c r="A1150" s="25" t="s">
        <v>13</v>
      </c>
      <c r="B1150" s="25" t="s">
        <v>661</v>
      </c>
      <c r="C1150" s="25" t="s">
        <v>59</v>
      </c>
      <c r="D1150" s="25" t="s">
        <v>51</v>
      </c>
      <c r="E1150" s="26">
        <v>2</v>
      </c>
      <c r="F1150" s="25" t="s">
        <v>561</v>
      </c>
      <c r="G1150" s="27">
        <f>$H$1149</f>
        <v>40</v>
      </c>
      <c r="H1150" s="27">
        <f>$G1150+$E1150</f>
        <v>42</v>
      </c>
      <c r="I1150" s="28">
        <f>WORKDAY(Settings!$D$14,INT($G1150/HoursPerDay)+1,Holidays)</f>
        <v>46408</v>
      </c>
      <c r="J1150" s="28">
        <f>IF($E1150=0,$I1150,WORKDAY(Settings!$D$14,ROUNDUP($H1150/HoursPerDay,0),Holidays))</f>
        <v>46408</v>
      </c>
    </row>
    <row r="1151" spans="1:10" x14ac:dyDescent="0.25">
      <c r="A1151" s="19" t="s">
        <v>13</v>
      </c>
      <c r="B1151" s="19" t="s">
        <v>205</v>
      </c>
      <c r="C1151" s="19" t="s">
        <v>885</v>
      </c>
      <c r="D1151" s="19" t="s">
        <v>45</v>
      </c>
      <c r="E1151" s="20">
        <f>SUMIF($D1152:$D1199,"Task",$E1152:$E1199)</f>
        <v>0</v>
      </c>
      <c r="F1151" s="19"/>
      <c r="G1151" s="20"/>
      <c r="H1151" s="20"/>
      <c r="I1151" s="21">
        <f>MIN($I1152:$I1199)</f>
        <v>46406</v>
      </c>
      <c r="J1151" s="21">
        <f>MAX($J1152:$J1199)</f>
        <v>46414</v>
      </c>
    </row>
    <row r="1152" spans="1:10" x14ac:dyDescent="0.25">
      <c r="A1152" s="22" t="s">
        <v>13</v>
      </c>
      <c r="B1152" s="22" t="s">
        <v>207</v>
      </c>
      <c r="C1152" s="22" t="s">
        <v>886</v>
      </c>
      <c r="D1152" s="22" t="s">
        <v>48</v>
      </c>
      <c r="E1152" s="23">
        <f>SUMIF($D1153:$D1156,"Task",$E1153:$E1156)</f>
        <v>0</v>
      </c>
      <c r="F1152" s="22"/>
      <c r="G1152" s="23"/>
      <c r="H1152" s="23"/>
      <c r="I1152" s="24">
        <f>MIN($I1153:$I1156)</f>
        <v>46406</v>
      </c>
      <c r="J1152" s="24">
        <f>MAX($J1153:$J1156)</f>
        <v>46414</v>
      </c>
    </row>
    <row r="1153" spans="1:10" x14ac:dyDescent="0.25">
      <c r="A1153" s="25" t="s">
        <v>13</v>
      </c>
      <c r="B1153" s="25" t="s">
        <v>209</v>
      </c>
      <c r="C1153" s="25" t="s">
        <v>50</v>
      </c>
      <c r="D1153" s="25" t="s">
        <v>51</v>
      </c>
      <c r="E1153" s="26">
        <v>0</v>
      </c>
      <c r="F1153" s="25" t="s">
        <v>561</v>
      </c>
      <c r="G1153" s="27">
        <f>$H$1150</f>
        <v>42</v>
      </c>
      <c r="H1153" s="27">
        <f>$G1153+$E1153</f>
        <v>42</v>
      </c>
      <c r="I1153" s="28">
        <f>WORKDAY(Settings!$D$14,INT($G1153/HoursPerDay)+1,Holidays)</f>
        <v>46409</v>
      </c>
      <c r="J1153" s="28">
        <f>IF($E1153=0,$I1153,WORKDAY(Settings!$D$14,ROUNDUP($H1153/HoursPerDay,0),Holidays))</f>
        <v>46409</v>
      </c>
    </row>
    <row r="1154" spans="1:10" x14ac:dyDescent="0.25">
      <c r="A1154" s="25" t="s">
        <v>13</v>
      </c>
      <c r="B1154" s="25" t="s">
        <v>210</v>
      </c>
      <c r="C1154" s="25" t="s">
        <v>54</v>
      </c>
      <c r="D1154" s="25" t="s">
        <v>51</v>
      </c>
      <c r="E1154" s="26">
        <v>0</v>
      </c>
      <c r="F1154" s="25" t="s">
        <v>78</v>
      </c>
      <c r="G1154" s="27">
        <f>$H$1148</f>
        <v>24</v>
      </c>
      <c r="H1154" s="27">
        <f>$G1154+$E1154</f>
        <v>24</v>
      </c>
      <c r="I1154" s="28">
        <f>WORKDAY(Settings!$D$14,INT($G1154/HoursPerDay)+1,Holidays)</f>
        <v>46406</v>
      </c>
      <c r="J1154" s="28">
        <f>IF($E1154=0,$I1154,WORKDAY(Settings!$D$14,ROUNDUP($H1154/HoursPerDay,0),Holidays))</f>
        <v>46406</v>
      </c>
    </row>
    <row r="1155" spans="1:10" x14ac:dyDescent="0.25">
      <c r="A1155" s="25" t="s">
        <v>13</v>
      </c>
      <c r="B1155" s="25" t="s">
        <v>211</v>
      </c>
      <c r="C1155" s="25" t="s">
        <v>56</v>
      </c>
      <c r="D1155" s="25" t="s">
        <v>51</v>
      </c>
      <c r="E1155" s="26">
        <v>0</v>
      </c>
      <c r="F1155" s="25" t="s">
        <v>57</v>
      </c>
      <c r="G1155" s="27">
        <f>$H$1124</f>
        <v>56</v>
      </c>
      <c r="H1155" s="27">
        <f>$G1155+$E1155</f>
        <v>56</v>
      </c>
      <c r="I1155" s="28">
        <f>WORKDAY(Settings!$D$14,INT($G1155/HoursPerDay)+1,Holidays)</f>
        <v>46414</v>
      </c>
      <c r="J1155" s="28">
        <f>IF($E1155=0,$I1155,WORKDAY(Settings!$D$14,ROUNDUP($H1155/HoursPerDay,0),Holidays))</f>
        <v>46414</v>
      </c>
    </row>
    <row r="1156" spans="1:10" x14ac:dyDescent="0.25">
      <c r="A1156" s="25" t="s">
        <v>13</v>
      </c>
      <c r="B1156" s="25" t="s">
        <v>362</v>
      </c>
      <c r="C1156" s="25" t="s">
        <v>59</v>
      </c>
      <c r="D1156" s="25" t="s">
        <v>51</v>
      </c>
      <c r="E1156" s="26">
        <v>0</v>
      </c>
      <c r="F1156" s="25" t="s">
        <v>60</v>
      </c>
      <c r="G1156" s="27">
        <f>$H$1125</f>
        <v>37</v>
      </c>
      <c r="H1156" s="27">
        <f>$G1156+$E1156</f>
        <v>37</v>
      </c>
      <c r="I1156" s="28">
        <f>WORKDAY(Settings!$D$14,INT($G1156/HoursPerDay)+1,Holidays)</f>
        <v>46408</v>
      </c>
      <c r="J1156" s="28">
        <f>IF($E1156=0,$I1156,WORKDAY(Settings!$D$14,ROUNDUP($H1156/HoursPerDay,0),Holidays))</f>
        <v>46408</v>
      </c>
    </row>
    <row r="1157" spans="1:10" x14ac:dyDescent="0.25">
      <c r="A1157" s="22" t="s">
        <v>13</v>
      </c>
      <c r="B1157" s="22" t="s">
        <v>212</v>
      </c>
      <c r="C1157" s="22" t="s">
        <v>887</v>
      </c>
      <c r="D1157" s="22" t="s">
        <v>48</v>
      </c>
      <c r="E1157" s="23">
        <f>SUMIF($D1158:$D1161,"Task",$E1158:$E1161)</f>
        <v>0</v>
      </c>
      <c r="F1157" s="22"/>
      <c r="G1157" s="23"/>
      <c r="H1157" s="23"/>
      <c r="I1157" s="24">
        <f>MIN($I1158:$I1161)</f>
        <v>46406</v>
      </c>
      <c r="J1157" s="24">
        <f>MAX($J1158:$J1161)</f>
        <v>46414</v>
      </c>
    </row>
    <row r="1158" spans="1:10" x14ac:dyDescent="0.25">
      <c r="A1158" s="25" t="s">
        <v>13</v>
      </c>
      <c r="B1158" s="25" t="s">
        <v>214</v>
      </c>
      <c r="C1158" s="25" t="s">
        <v>50</v>
      </c>
      <c r="D1158" s="25" t="s">
        <v>51</v>
      </c>
      <c r="E1158" s="26">
        <v>0</v>
      </c>
      <c r="F1158" s="25" t="s">
        <v>561</v>
      </c>
      <c r="G1158" s="27">
        <f>$H$1153</f>
        <v>42</v>
      </c>
      <c r="H1158" s="27">
        <f>$G1158+$E1158</f>
        <v>42</v>
      </c>
      <c r="I1158" s="28">
        <f>WORKDAY(Settings!$D$14,INT($G1158/HoursPerDay)+1,Holidays)</f>
        <v>46409</v>
      </c>
      <c r="J1158" s="28">
        <f>IF($E1158=0,$I1158,WORKDAY(Settings!$D$14,ROUNDUP($H1158/HoursPerDay,0),Holidays))</f>
        <v>46409</v>
      </c>
    </row>
    <row r="1159" spans="1:10" x14ac:dyDescent="0.25">
      <c r="A1159" s="25" t="s">
        <v>13</v>
      </c>
      <c r="B1159" s="25" t="s">
        <v>215</v>
      </c>
      <c r="C1159" s="25" t="s">
        <v>54</v>
      </c>
      <c r="D1159" s="25" t="s">
        <v>51</v>
      </c>
      <c r="E1159" s="26">
        <v>0</v>
      </c>
      <c r="F1159" s="25" t="s">
        <v>78</v>
      </c>
      <c r="G1159" s="27">
        <f>$H$1154</f>
        <v>24</v>
      </c>
      <c r="H1159" s="27">
        <f>$G1159+$E1159</f>
        <v>24</v>
      </c>
      <c r="I1159" s="28">
        <f>WORKDAY(Settings!$D$14,INT($G1159/HoursPerDay)+1,Holidays)</f>
        <v>46406</v>
      </c>
      <c r="J1159" s="28">
        <f>IF($E1159=0,$I1159,WORKDAY(Settings!$D$14,ROUNDUP($H1159/HoursPerDay,0),Holidays))</f>
        <v>46406</v>
      </c>
    </row>
    <row r="1160" spans="1:10" x14ac:dyDescent="0.25">
      <c r="A1160" s="25" t="s">
        <v>13</v>
      </c>
      <c r="B1160" s="25" t="s">
        <v>216</v>
      </c>
      <c r="C1160" s="25" t="s">
        <v>56</v>
      </c>
      <c r="D1160" s="25" t="s">
        <v>51</v>
      </c>
      <c r="E1160" s="26">
        <v>0</v>
      </c>
      <c r="F1160" s="25" t="s">
        <v>57</v>
      </c>
      <c r="G1160" s="27">
        <f>$H$1155</f>
        <v>56</v>
      </c>
      <c r="H1160" s="27">
        <f>$G1160+$E1160</f>
        <v>56</v>
      </c>
      <c r="I1160" s="28">
        <f>WORKDAY(Settings!$D$14,INT($G1160/HoursPerDay)+1,Holidays)</f>
        <v>46414</v>
      </c>
      <c r="J1160" s="28">
        <f>IF($E1160=0,$I1160,WORKDAY(Settings!$D$14,ROUNDUP($H1160/HoursPerDay,0),Holidays))</f>
        <v>46414</v>
      </c>
    </row>
    <row r="1161" spans="1:10" x14ac:dyDescent="0.25">
      <c r="A1161" s="25" t="s">
        <v>13</v>
      </c>
      <c r="B1161" s="25" t="s">
        <v>479</v>
      </c>
      <c r="C1161" s="25" t="s">
        <v>59</v>
      </c>
      <c r="D1161" s="25" t="s">
        <v>51</v>
      </c>
      <c r="E1161" s="26">
        <v>0</v>
      </c>
      <c r="F1161" s="25" t="s">
        <v>60</v>
      </c>
      <c r="G1161" s="27">
        <f>$H$1156</f>
        <v>37</v>
      </c>
      <c r="H1161" s="27">
        <f>$G1161+$E1161</f>
        <v>37</v>
      </c>
      <c r="I1161" s="28">
        <f>WORKDAY(Settings!$D$14,INT($G1161/HoursPerDay)+1,Holidays)</f>
        <v>46408</v>
      </c>
      <c r="J1161" s="28">
        <f>IF($E1161=0,$I1161,WORKDAY(Settings!$D$14,ROUNDUP($H1161/HoursPerDay,0),Holidays))</f>
        <v>46408</v>
      </c>
    </row>
    <row r="1162" spans="1:10" x14ac:dyDescent="0.25">
      <c r="A1162" s="22" t="s">
        <v>13</v>
      </c>
      <c r="B1162" s="22" t="s">
        <v>217</v>
      </c>
      <c r="C1162" s="22" t="s">
        <v>888</v>
      </c>
      <c r="D1162" s="22" t="s">
        <v>48</v>
      </c>
      <c r="E1162" s="23">
        <f>SUMIF($D1163:$D1166,"Task",$E1163:$E1166)</f>
        <v>0</v>
      </c>
      <c r="F1162" s="22"/>
      <c r="G1162" s="23"/>
      <c r="H1162" s="23"/>
      <c r="I1162" s="24">
        <f>MIN($I1163:$I1166)</f>
        <v>46406</v>
      </c>
      <c r="J1162" s="24">
        <f>MAX($J1163:$J1166)</f>
        <v>46414</v>
      </c>
    </row>
    <row r="1163" spans="1:10" x14ac:dyDescent="0.25">
      <c r="A1163" s="25" t="s">
        <v>13</v>
      </c>
      <c r="B1163" s="25" t="s">
        <v>219</v>
      </c>
      <c r="C1163" s="25" t="s">
        <v>50</v>
      </c>
      <c r="D1163" s="25" t="s">
        <v>51</v>
      </c>
      <c r="E1163" s="26">
        <v>0</v>
      </c>
      <c r="F1163" s="25" t="s">
        <v>561</v>
      </c>
      <c r="G1163" s="27">
        <f>$H$1158</f>
        <v>42</v>
      </c>
      <c r="H1163" s="27">
        <f>$G1163+$E1163</f>
        <v>42</v>
      </c>
      <c r="I1163" s="28">
        <f>WORKDAY(Settings!$D$14,INT($G1163/HoursPerDay)+1,Holidays)</f>
        <v>46409</v>
      </c>
      <c r="J1163" s="28">
        <f>IF($E1163=0,$I1163,WORKDAY(Settings!$D$14,ROUNDUP($H1163/HoursPerDay,0),Holidays))</f>
        <v>46409</v>
      </c>
    </row>
    <row r="1164" spans="1:10" x14ac:dyDescent="0.25">
      <c r="A1164" s="25" t="s">
        <v>13</v>
      </c>
      <c r="B1164" s="25" t="s">
        <v>220</v>
      </c>
      <c r="C1164" s="25" t="s">
        <v>54</v>
      </c>
      <c r="D1164" s="25" t="s">
        <v>51</v>
      </c>
      <c r="E1164" s="26">
        <v>0</v>
      </c>
      <c r="F1164" s="25" t="s">
        <v>78</v>
      </c>
      <c r="G1164" s="27">
        <f>$H$1159</f>
        <v>24</v>
      </c>
      <c r="H1164" s="27">
        <f>$G1164+$E1164</f>
        <v>24</v>
      </c>
      <c r="I1164" s="28">
        <f>WORKDAY(Settings!$D$14,INT($G1164/HoursPerDay)+1,Holidays)</f>
        <v>46406</v>
      </c>
      <c r="J1164" s="28">
        <f>IF($E1164=0,$I1164,WORKDAY(Settings!$D$14,ROUNDUP($H1164/HoursPerDay,0),Holidays))</f>
        <v>46406</v>
      </c>
    </row>
    <row r="1165" spans="1:10" x14ac:dyDescent="0.25">
      <c r="A1165" s="25" t="s">
        <v>13</v>
      </c>
      <c r="B1165" s="25" t="s">
        <v>221</v>
      </c>
      <c r="C1165" s="25" t="s">
        <v>56</v>
      </c>
      <c r="D1165" s="25" t="s">
        <v>51</v>
      </c>
      <c r="E1165" s="26">
        <v>0</v>
      </c>
      <c r="F1165" s="25" t="s">
        <v>57</v>
      </c>
      <c r="G1165" s="27">
        <f>$H$1160</f>
        <v>56</v>
      </c>
      <c r="H1165" s="27">
        <f>$G1165+$E1165</f>
        <v>56</v>
      </c>
      <c r="I1165" s="28">
        <f>WORKDAY(Settings!$D$14,INT($G1165/HoursPerDay)+1,Holidays)</f>
        <v>46414</v>
      </c>
      <c r="J1165" s="28">
        <f>IF($E1165=0,$I1165,WORKDAY(Settings!$D$14,ROUNDUP($H1165/HoursPerDay,0),Holidays))</f>
        <v>46414</v>
      </c>
    </row>
    <row r="1166" spans="1:10" x14ac:dyDescent="0.25">
      <c r="A1166" s="25" t="s">
        <v>13</v>
      </c>
      <c r="B1166" s="25" t="s">
        <v>706</v>
      </c>
      <c r="C1166" s="25" t="s">
        <v>59</v>
      </c>
      <c r="D1166" s="25" t="s">
        <v>51</v>
      </c>
      <c r="E1166" s="26">
        <v>0</v>
      </c>
      <c r="F1166" s="25" t="s">
        <v>60</v>
      </c>
      <c r="G1166" s="27">
        <f>$H$1161</f>
        <v>37</v>
      </c>
      <c r="H1166" s="27">
        <f>$G1166+$E1166</f>
        <v>37</v>
      </c>
      <c r="I1166" s="28">
        <f>WORKDAY(Settings!$D$14,INT($G1166/HoursPerDay)+1,Holidays)</f>
        <v>46408</v>
      </c>
      <c r="J1166" s="28">
        <f>IF($E1166=0,$I1166,WORKDAY(Settings!$D$14,ROUNDUP($H1166/HoursPerDay,0),Holidays))</f>
        <v>46408</v>
      </c>
    </row>
    <row r="1167" spans="1:10" x14ac:dyDescent="0.25">
      <c r="A1167" s="22" t="s">
        <v>13</v>
      </c>
      <c r="B1167" s="22" t="s">
        <v>222</v>
      </c>
      <c r="C1167" s="22" t="s">
        <v>889</v>
      </c>
      <c r="D1167" s="22" t="s">
        <v>48</v>
      </c>
      <c r="E1167" s="23">
        <f>SUMIF($D1168:$D1170,"Task",$E1168:$E1170)</f>
        <v>0</v>
      </c>
      <c r="F1167" s="22"/>
      <c r="G1167" s="23"/>
      <c r="H1167" s="23"/>
      <c r="I1167" s="24">
        <f>MIN($I1168:$I1170)</f>
        <v>46406</v>
      </c>
      <c r="J1167" s="24">
        <f>MAX($J1168:$J1170)</f>
        <v>46414</v>
      </c>
    </row>
    <row r="1168" spans="1:10" x14ac:dyDescent="0.25">
      <c r="A1168" s="25" t="s">
        <v>13</v>
      </c>
      <c r="B1168" s="25" t="s">
        <v>225</v>
      </c>
      <c r="C1168" s="25" t="s">
        <v>54</v>
      </c>
      <c r="D1168" s="25" t="s">
        <v>51</v>
      </c>
      <c r="E1168" s="26">
        <v>0</v>
      </c>
      <c r="F1168" s="25" t="s">
        <v>78</v>
      </c>
      <c r="G1168" s="27">
        <f>$H$1164</f>
        <v>24</v>
      </c>
      <c r="H1168" s="27">
        <f>$G1168+$E1168</f>
        <v>24</v>
      </c>
      <c r="I1168" s="28">
        <f>WORKDAY(Settings!$D$14,INT($G1168/HoursPerDay)+1,Holidays)</f>
        <v>46406</v>
      </c>
      <c r="J1168" s="28">
        <f>IF($E1168=0,$I1168,WORKDAY(Settings!$D$14,ROUNDUP($H1168/HoursPerDay,0),Holidays))</f>
        <v>46406</v>
      </c>
    </row>
    <row r="1169" spans="1:10" x14ac:dyDescent="0.25">
      <c r="A1169" s="25" t="s">
        <v>13</v>
      </c>
      <c r="B1169" s="25" t="s">
        <v>226</v>
      </c>
      <c r="C1169" s="25" t="s">
        <v>56</v>
      </c>
      <c r="D1169" s="25" t="s">
        <v>51</v>
      </c>
      <c r="E1169" s="26">
        <v>0</v>
      </c>
      <c r="F1169" s="25" t="s">
        <v>57</v>
      </c>
      <c r="G1169" s="27">
        <f>$H$1165</f>
        <v>56</v>
      </c>
      <c r="H1169" s="27">
        <f>$G1169+$E1169</f>
        <v>56</v>
      </c>
      <c r="I1169" s="28">
        <f>WORKDAY(Settings!$D$14,INT($G1169/HoursPerDay)+1,Holidays)</f>
        <v>46414</v>
      </c>
      <c r="J1169" s="28">
        <f>IF($E1169=0,$I1169,WORKDAY(Settings!$D$14,ROUNDUP($H1169/HoursPerDay,0),Holidays))</f>
        <v>46414</v>
      </c>
    </row>
    <row r="1170" spans="1:10" x14ac:dyDescent="0.25">
      <c r="A1170" s="25" t="s">
        <v>13</v>
      </c>
      <c r="B1170" s="25" t="s">
        <v>708</v>
      </c>
      <c r="C1170" s="25" t="s">
        <v>59</v>
      </c>
      <c r="D1170" s="25" t="s">
        <v>51</v>
      </c>
      <c r="E1170" s="26">
        <v>0</v>
      </c>
      <c r="F1170" s="25" t="s">
        <v>60</v>
      </c>
      <c r="G1170" s="27">
        <f>$H$1166</f>
        <v>37</v>
      </c>
      <c r="H1170" s="27">
        <f>$G1170+$E1170</f>
        <v>37</v>
      </c>
      <c r="I1170" s="28">
        <f>WORKDAY(Settings!$D$14,INT($G1170/HoursPerDay)+1,Holidays)</f>
        <v>46408</v>
      </c>
      <c r="J1170" s="28">
        <f>IF($E1170=0,$I1170,WORKDAY(Settings!$D$14,ROUNDUP($H1170/HoursPerDay,0),Holidays))</f>
        <v>46408</v>
      </c>
    </row>
    <row r="1171" spans="1:10" x14ac:dyDescent="0.25">
      <c r="A1171" s="22" t="s">
        <v>13</v>
      </c>
      <c r="B1171" s="22" t="s">
        <v>366</v>
      </c>
      <c r="C1171" s="22" t="s">
        <v>890</v>
      </c>
      <c r="D1171" s="22" t="s">
        <v>48</v>
      </c>
      <c r="E1171" s="23">
        <f>SUMIF($D1172:$D1174,"Task",$E1172:$E1174)</f>
        <v>0</v>
      </c>
      <c r="F1171" s="22"/>
      <c r="G1171" s="23"/>
      <c r="H1171" s="23"/>
      <c r="I1171" s="24">
        <f>MIN($I1172:$I1174)</f>
        <v>46406</v>
      </c>
      <c r="J1171" s="24">
        <f>MAX($J1172:$J1174)</f>
        <v>46414</v>
      </c>
    </row>
    <row r="1172" spans="1:10" x14ac:dyDescent="0.25">
      <c r="A1172" s="25" t="s">
        <v>13</v>
      </c>
      <c r="B1172" s="25" t="s">
        <v>369</v>
      </c>
      <c r="C1172" s="25" t="s">
        <v>54</v>
      </c>
      <c r="D1172" s="25" t="s">
        <v>51</v>
      </c>
      <c r="E1172" s="26">
        <v>0</v>
      </c>
      <c r="F1172" s="25" t="s">
        <v>78</v>
      </c>
      <c r="G1172" s="27">
        <f>$H$1168</f>
        <v>24</v>
      </c>
      <c r="H1172" s="27">
        <f>$G1172+$E1172</f>
        <v>24</v>
      </c>
      <c r="I1172" s="28">
        <f>WORKDAY(Settings!$D$14,INT($G1172/HoursPerDay)+1,Holidays)</f>
        <v>46406</v>
      </c>
      <c r="J1172" s="28">
        <f>IF($E1172=0,$I1172,WORKDAY(Settings!$D$14,ROUNDUP($H1172/HoursPerDay,0),Holidays))</f>
        <v>46406</v>
      </c>
    </row>
    <row r="1173" spans="1:10" x14ac:dyDescent="0.25">
      <c r="A1173" s="25" t="s">
        <v>13</v>
      </c>
      <c r="B1173" s="25" t="s">
        <v>370</v>
      </c>
      <c r="C1173" s="25" t="s">
        <v>56</v>
      </c>
      <c r="D1173" s="25" t="s">
        <v>51</v>
      </c>
      <c r="E1173" s="26">
        <v>0</v>
      </c>
      <c r="F1173" s="25" t="s">
        <v>57</v>
      </c>
      <c r="G1173" s="27">
        <f>$H$1169</f>
        <v>56</v>
      </c>
      <c r="H1173" s="27">
        <f>$G1173+$E1173</f>
        <v>56</v>
      </c>
      <c r="I1173" s="28">
        <f>WORKDAY(Settings!$D$14,INT($G1173/HoursPerDay)+1,Holidays)</f>
        <v>46414</v>
      </c>
      <c r="J1173" s="28">
        <f>IF($E1173=0,$I1173,WORKDAY(Settings!$D$14,ROUNDUP($H1173/HoursPerDay,0),Holidays))</f>
        <v>46414</v>
      </c>
    </row>
    <row r="1174" spans="1:10" x14ac:dyDescent="0.25">
      <c r="A1174" s="25" t="s">
        <v>13</v>
      </c>
      <c r="B1174" s="25" t="s">
        <v>481</v>
      </c>
      <c r="C1174" s="25" t="s">
        <v>59</v>
      </c>
      <c r="D1174" s="25" t="s">
        <v>51</v>
      </c>
      <c r="E1174" s="26">
        <v>0</v>
      </c>
      <c r="F1174" s="25" t="s">
        <v>60</v>
      </c>
      <c r="G1174" s="27">
        <f>$H$1170</f>
        <v>37</v>
      </c>
      <c r="H1174" s="27">
        <f>$G1174+$E1174</f>
        <v>37</v>
      </c>
      <c r="I1174" s="28">
        <f>WORKDAY(Settings!$D$14,INT($G1174/HoursPerDay)+1,Holidays)</f>
        <v>46408</v>
      </c>
      <c r="J1174" s="28">
        <f>IF($E1174=0,$I1174,WORKDAY(Settings!$D$14,ROUNDUP($H1174/HoursPerDay,0),Holidays))</f>
        <v>46408</v>
      </c>
    </row>
    <row r="1175" spans="1:10" x14ac:dyDescent="0.25">
      <c r="A1175" s="22" t="s">
        <v>13</v>
      </c>
      <c r="B1175" s="22" t="s">
        <v>482</v>
      </c>
      <c r="C1175" s="22" t="s">
        <v>891</v>
      </c>
      <c r="D1175" s="22" t="s">
        <v>48</v>
      </c>
      <c r="E1175" s="23">
        <f>SUMIF($D1176:$D1178,"Task",$E1176:$E1178)</f>
        <v>0</v>
      </c>
      <c r="F1175" s="22"/>
      <c r="G1175" s="23"/>
      <c r="H1175" s="23"/>
      <c r="I1175" s="24">
        <f>MIN($I1176:$I1178)</f>
        <v>46406</v>
      </c>
      <c r="J1175" s="24">
        <f>MAX($J1176:$J1178)</f>
        <v>46414</v>
      </c>
    </row>
    <row r="1176" spans="1:10" x14ac:dyDescent="0.25">
      <c r="A1176" s="25" t="s">
        <v>13</v>
      </c>
      <c r="B1176" s="25" t="s">
        <v>484</v>
      </c>
      <c r="C1176" s="25" t="s">
        <v>54</v>
      </c>
      <c r="D1176" s="25" t="s">
        <v>51</v>
      </c>
      <c r="E1176" s="26">
        <v>0</v>
      </c>
      <c r="F1176" s="25" t="s">
        <v>78</v>
      </c>
      <c r="G1176" s="27">
        <f>$H$1172</f>
        <v>24</v>
      </c>
      <c r="H1176" s="27">
        <f>$G1176+$E1176</f>
        <v>24</v>
      </c>
      <c r="I1176" s="28">
        <f>WORKDAY(Settings!$D$14,INT($G1176/HoursPerDay)+1,Holidays)</f>
        <v>46406</v>
      </c>
      <c r="J1176" s="28">
        <f>IF($E1176=0,$I1176,WORKDAY(Settings!$D$14,ROUNDUP($H1176/HoursPerDay,0),Holidays))</f>
        <v>46406</v>
      </c>
    </row>
    <row r="1177" spans="1:10" x14ac:dyDescent="0.25">
      <c r="A1177" s="25" t="s">
        <v>13</v>
      </c>
      <c r="B1177" s="25" t="s">
        <v>485</v>
      </c>
      <c r="C1177" s="25" t="s">
        <v>56</v>
      </c>
      <c r="D1177" s="25" t="s">
        <v>51</v>
      </c>
      <c r="E1177" s="26">
        <v>0</v>
      </c>
      <c r="F1177" s="25" t="s">
        <v>57</v>
      </c>
      <c r="G1177" s="27">
        <f>$H$1173</f>
        <v>56</v>
      </c>
      <c r="H1177" s="27">
        <f>$G1177+$E1177</f>
        <v>56</v>
      </c>
      <c r="I1177" s="28">
        <f>WORKDAY(Settings!$D$14,INT($G1177/HoursPerDay)+1,Holidays)</f>
        <v>46414</v>
      </c>
      <c r="J1177" s="28">
        <f>IF($E1177=0,$I1177,WORKDAY(Settings!$D$14,ROUNDUP($H1177/HoursPerDay,0),Holidays))</f>
        <v>46414</v>
      </c>
    </row>
    <row r="1178" spans="1:10" x14ac:dyDescent="0.25">
      <c r="A1178" s="25" t="s">
        <v>13</v>
      </c>
      <c r="B1178" s="25" t="s">
        <v>486</v>
      </c>
      <c r="C1178" s="25" t="s">
        <v>59</v>
      </c>
      <c r="D1178" s="25" t="s">
        <v>51</v>
      </c>
      <c r="E1178" s="26">
        <v>0</v>
      </c>
      <c r="F1178" s="25" t="s">
        <v>60</v>
      </c>
      <c r="G1178" s="27">
        <f>$H$1174</f>
        <v>37</v>
      </c>
      <c r="H1178" s="27">
        <f>$G1178+$E1178</f>
        <v>37</v>
      </c>
      <c r="I1178" s="28">
        <f>WORKDAY(Settings!$D$14,INT($G1178/HoursPerDay)+1,Holidays)</f>
        <v>46408</v>
      </c>
      <c r="J1178" s="28">
        <f>IF($E1178=0,$I1178,WORKDAY(Settings!$D$14,ROUNDUP($H1178/HoursPerDay,0),Holidays))</f>
        <v>46408</v>
      </c>
    </row>
    <row r="1179" spans="1:10" x14ac:dyDescent="0.25">
      <c r="A1179" s="22" t="s">
        <v>13</v>
      </c>
      <c r="B1179" s="22" t="s">
        <v>487</v>
      </c>
      <c r="C1179" s="22" t="s">
        <v>892</v>
      </c>
      <c r="D1179" s="22" t="s">
        <v>48</v>
      </c>
      <c r="E1179" s="23">
        <f>SUMIF($D1180:$D1182,"Task",$E1180:$E1182)</f>
        <v>0</v>
      </c>
      <c r="F1179" s="22"/>
      <c r="G1179" s="23"/>
      <c r="H1179" s="23"/>
      <c r="I1179" s="24">
        <f>MIN($I1180:$I1182)</f>
        <v>46406</v>
      </c>
      <c r="J1179" s="24">
        <f>MAX($J1180:$J1182)</f>
        <v>46414</v>
      </c>
    </row>
    <row r="1180" spans="1:10" x14ac:dyDescent="0.25">
      <c r="A1180" s="25" t="s">
        <v>13</v>
      </c>
      <c r="B1180" s="25" t="s">
        <v>489</v>
      </c>
      <c r="C1180" s="25" t="s">
        <v>54</v>
      </c>
      <c r="D1180" s="25" t="s">
        <v>51</v>
      </c>
      <c r="E1180" s="26">
        <v>0</v>
      </c>
      <c r="F1180" s="25" t="s">
        <v>78</v>
      </c>
      <c r="G1180" s="27">
        <f>$H$1176</f>
        <v>24</v>
      </c>
      <c r="H1180" s="27">
        <f>$G1180+$E1180</f>
        <v>24</v>
      </c>
      <c r="I1180" s="28">
        <f>WORKDAY(Settings!$D$14,INT($G1180/HoursPerDay)+1,Holidays)</f>
        <v>46406</v>
      </c>
      <c r="J1180" s="28">
        <f>IF($E1180=0,$I1180,WORKDAY(Settings!$D$14,ROUNDUP($H1180/HoursPerDay,0),Holidays))</f>
        <v>46406</v>
      </c>
    </row>
    <row r="1181" spans="1:10" x14ac:dyDescent="0.25">
      <c r="A1181" s="25" t="s">
        <v>13</v>
      </c>
      <c r="B1181" s="25" t="s">
        <v>490</v>
      </c>
      <c r="C1181" s="25" t="s">
        <v>56</v>
      </c>
      <c r="D1181" s="25" t="s">
        <v>51</v>
      </c>
      <c r="E1181" s="26">
        <v>0</v>
      </c>
      <c r="F1181" s="25" t="s">
        <v>57</v>
      </c>
      <c r="G1181" s="27">
        <f>$H$1177</f>
        <v>56</v>
      </c>
      <c r="H1181" s="27">
        <f>$G1181+$E1181</f>
        <v>56</v>
      </c>
      <c r="I1181" s="28">
        <f>WORKDAY(Settings!$D$14,INT($G1181/HoursPerDay)+1,Holidays)</f>
        <v>46414</v>
      </c>
      <c r="J1181" s="28">
        <f>IF($E1181=0,$I1181,WORKDAY(Settings!$D$14,ROUNDUP($H1181/HoursPerDay,0),Holidays))</f>
        <v>46414</v>
      </c>
    </row>
    <row r="1182" spans="1:10" x14ac:dyDescent="0.25">
      <c r="A1182" s="25" t="s">
        <v>13</v>
      </c>
      <c r="B1182" s="25" t="s">
        <v>491</v>
      </c>
      <c r="C1182" s="25" t="s">
        <v>59</v>
      </c>
      <c r="D1182" s="25" t="s">
        <v>51</v>
      </c>
      <c r="E1182" s="26">
        <v>0</v>
      </c>
      <c r="F1182" s="25" t="s">
        <v>60</v>
      </c>
      <c r="G1182" s="27">
        <f>$H$1178</f>
        <v>37</v>
      </c>
      <c r="H1182" s="27">
        <f>$G1182+$E1182</f>
        <v>37</v>
      </c>
      <c r="I1182" s="28">
        <f>WORKDAY(Settings!$D$14,INT($G1182/HoursPerDay)+1,Holidays)</f>
        <v>46408</v>
      </c>
      <c r="J1182" s="28">
        <f>IF($E1182=0,$I1182,WORKDAY(Settings!$D$14,ROUNDUP($H1182/HoursPerDay,0),Holidays))</f>
        <v>46408</v>
      </c>
    </row>
    <row r="1183" spans="1:10" x14ac:dyDescent="0.25">
      <c r="A1183" s="22" t="s">
        <v>13</v>
      </c>
      <c r="B1183" s="22" t="s">
        <v>492</v>
      </c>
      <c r="C1183" s="22" t="s">
        <v>893</v>
      </c>
      <c r="D1183" s="22" t="s">
        <v>48</v>
      </c>
      <c r="E1183" s="23">
        <f>SUMIF($D1184:$D1186,"Task",$E1184:$E1186)</f>
        <v>0</v>
      </c>
      <c r="F1183" s="22"/>
      <c r="G1183" s="23"/>
      <c r="H1183" s="23"/>
      <c r="I1183" s="24">
        <f>MIN($I1184:$I1186)</f>
        <v>46406</v>
      </c>
      <c r="J1183" s="24">
        <f>MAX($J1184:$J1186)</f>
        <v>46414</v>
      </c>
    </row>
    <row r="1184" spans="1:10" x14ac:dyDescent="0.25">
      <c r="A1184" s="25" t="s">
        <v>13</v>
      </c>
      <c r="B1184" s="25" t="s">
        <v>715</v>
      </c>
      <c r="C1184" s="25" t="s">
        <v>50</v>
      </c>
      <c r="D1184" s="25" t="s">
        <v>51</v>
      </c>
      <c r="E1184" s="26">
        <v>0</v>
      </c>
      <c r="F1184" s="25" t="s">
        <v>561</v>
      </c>
      <c r="G1184" s="27">
        <f>$H$1163</f>
        <v>42</v>
      </c>
      <c r="H1184" s="27">
        <f>$G1184+$E1184</f>
        <v>42</v>
      </c>
      <c r="I1184" s="28">
        <f>WORKDAY(Settings!$D$14,INT($G1184/HoursPerDay)+1,Holidays)</f>
        <v>46409</v>
      </c>
      <c r="J1184" s="28">
        <f>IF($E1184=0,$I1184,WORKDAY(Settings!$D$14,ROUNDUP($H1184/HoursPerDay,0),Holidays))</f>
        <v>46409</v>
      </c>
    </row>
    <row r="1185" spans="1:10" x14ac:dyDescent="0.25">
      <c r="A1185" s="25" t="s">
        <v>13</v>
      </c>
      <c r="B1185" s="25" t="s">
        <v>494</v>
      </c>
      <c r="C1185" s="25" t="s">
        <v>54</v>
      </c>
      <c r="D1185" s="25" t="s">
        <v>51</v>
      </c>
      <c r="E1185" s="26">
        <v>0</v>
      </c>
      <c r="F1185" s="25" t="s">
        <v>78</v>
      </c>
      <c r="G1185" s="27">
        <f>$H$1180</f>
        <v>24</v>
      </c>
      <c r="H1185" s="27">
        <f>$G1185+$E1185</f>
        <v>24</v>
      </c>
      <c r="I1185" s="28">
        <f>WORKDAY(Settings!$D$14,INT($G1185/HoursPerDay)+1,Holidays)</f>
        <v>46406</v>
      </c>
      <c r="J1185" s="28">
        <f>IF($E1185=0,$I1185,WORKDAY(Settings!$D$14,ROUNDUP($H1185/HoursPerDay,0),Holidays))</f>
        <v>46406</v>
      </c>
    </row>
    <row r="1186" spans="1:10" x14ac:dyDescent="0.25">
      <c r="A1186" s="25" t="s">
        <v>13</v>
      </c>
      <c r="B1186" s="25" t="s">
        <v>495</v>
      </c>
      <c r="C1186" s="25" t="s">
        <v>56</v>
      </c>
      <c r="D1186" s="25" t="s">
        <v>51</v>
      </c>
      <c r="E1186" s="26">
        <v>0</v>
      </c>
      <c r="F1186" s="25" t="s">
        <v>57</v>
      </c>
      <c r="G1186" s="27">
        <f>$H$1181</f>
        <v>56</v>
      </c>
      <c r="H1186" s="27">
        <f>$G1186+$E1186</f>
        <v>56</v>
      </c>
      <c r="I1186" s="28">
        <f>WORKDAY(Settings!$D$14,INT($G1186/HoursPerDay)+1,Holidays)</f>
        <v>46414</v>
      </c>
      <c r="J1186" s="28">
        <f>IF($E1186=0,$I1186,WORKDAY(Settings!$D$14,ROUNDUP($H1186/HoursPerDay,0),Holidays))</f>
        <v>46414</v>
      </c>
    </row>
    <row r="1187" spans="1:10" x14ac:dyDescent="0.25">
      <c r="A1187" s="22" t="s">
        <v>13</v>
      </c>
      <c r="B1187" s="22" t="s">
        <v>497</v>
      </c>
      <c r="C1187" s="22" t="s">
        <v>894</v>
      </c>
      <c r="D1187" s="22" t="s">
        <v>48</v>
      </c>
      <c r="E1187" s="23">
        <f>SUMIF($D1188:$D1189,"Task",$E1188:$E1189)</f>
        <v>0</v>
      </c>
      <c r="F1187" s="22"/>
      <c r="G1187" s="23"/>
      <c r="H1187" s="23"/>
      <c r="I1187" s="24">
        <f>MIN($I1188:$I1189)</f>
        <v>46406</v>
      </c>
      <c r="J1187" s="24">
        <f>MAX($J1188:$J1189)</f>
        <v>46414</v>
      </c>
    </row>
    <row r="1188" spans="1:10" x14ac:dyDescent="0.25">
      <c r="A1188" s="25" t="s">
        <v>13</v>
      </c>
      <c r="B1188" s="25" t="s">
        <v>499</v>
      </c>
      <c r="C1188" s="25" t="s">
        <v>54</v>
      </c>
      <c r="D1188" s="25" t="s">
        <v>51</v>
      </c>
      <c r="E1188" s="26">
        <v>0</v>
      </c>
      <c r="F1188" s="25" t="s">
        <v>78</v>
      </c>
      <c r="G1188" s="27">
        <f>$H$1185</f>
        <v>24</v>
      </c>
      <c r="H1188" s="27">
        <f>$G1188+$E1188</f>
        <v>24</v>
      </c>
      <c r="I1188" s="28">
        <f>WORKDAY(Settings!$D$14,INT($G1188/HoursPerDay)+1,Holidays)</f>
        <v>46406</v>
      </c>
      <c r="J1188" s="28">
        <f>IF($E1188=0,$I1188,WORKDAY(Settings!$D$14,ROUNDUP($H1188/HoursPerDay,0),Holidays))</f>
        <v>46406</v>
      </c>
    </row>
    <row r="1189" spans="1:10" x14ac:dyDescent="0.25">
      <c r="A1189" s="25" t="s">
        <v>13</v>
      </c>
      <c r="B1189" s="25" t="s">
        <v>500</v>
      </c>
      <c r="C1189" s="25" t="s">
        <v>56</v>
      </c>
      <c r="D1189" s="25" t="s">
        <v>51</v>
      </c>
      <c r="E1189" s="26">
        <v>0</v>
      </c>
      <c r="F1189" s="25" t="s">
        <v>57</v>
      </c>
      <c r="G1189" s="27">
        <f>$H$1186</f>
        <v>56</v>
      </c>
      <c r="H1189" s="27">
        <f>$G1189+$E1189</f>
        <v>56</v>
      </c>
      <c r="I1189" s="28">
        <f>WORKDAY(Settings!$D$14,INT($G1189/HoursPerDay)+1,Holidays)</f>
        <v>46414</v>
      </c>
      <c r="J1189" s="28">
        <f>IF($E1189=0,$I1189,WORKDAY(Settings!$D$14,ROUNDUP($H1189/HoursPerDay,0),Holidays))</f>
        <v>46414</v>
      </c>
    </row>
    <row r="1190" spans="1:10" x14ac:dyDescent="0.25">
      <c r="A1190" s="22" t="s">
        <v>13</v>
      </c>
      <c r="B1190" s="22" t="s">
        <v>502</v>
      </c>
      <c r="C1190" s="22" t="s">
        <v>895</v>
      </c>
      <c r="D1190" s="22" t="s">
        <v>48</v>
      </c>
      <c r="E1190" s="23">
        <f>SUMIF($D1191:$D1192,"Task",$E1191:$E1192)</f>
        <v>0</v>
      </c>
      <c r="F1190" s="22"/>
      <c r="G1190" s="23"/>
      <c r="H1190" s="23"/>
      <c r="I1190" s="24">
        <f>MIN($I1191:$I1192)</f>
        <v>46406</v>
      </c>
      <c r="J1190" s="24">
        <f>MAX($J1191:$J1192)</f>
        <v>46414</v>
      </c>
    </row>
    <row r="1191" spans="1:10" x14ac:dyDescent="0.25">
      <c r="A1191" s="25" t="s">
        <v>13</v>
      </c>
      <c r="B1191" s="25" t="s">
        <v>504</v>
      </c>
      <c r="C1191" s="25" t="s">
        <v>54</v>
      </c>
      <c r="D1191" s="25" t="s">
        <v>51</v>
      </c>
      <c r="E1191" s="26">
        <v>0</v>
      </c>
      <c r="F1191" s="25" t="s">
        <v>78</v>
      </c>
      <c r="G1191" s="27">
        <f>$H$1188</f>
        <v>24</v>
      </c>
      <c r="H1191" s="27">
        <f>$G1191+$E1191</f>
        <v>24</v>
      </c>
      <c r="I1191" s="28">
        <f>WORKDAY(Settings!$D$14,INT($G1191/HoursPerDay)+1,Holidays)</f>
        <v>46406</v>
      </c>
      <c r="J1191" s="28">
        <f>IF($E1191=0,$I1191,WORKDAY(Settings!$D$14,ROUNDUP($H1191/HoursPerDay,0),Holidays))</f>
        <v>46406</v>
      </c>
    </row>
    <row r="1192" spans="1:10" x14ac:dyDescent="0.25">
      <c r="A1192" s="25" t="s">
        <v>13</v>
      </c>
      <c r="B1192" s="25" t="s">
        <v>505</v>
      </c>
      <c r="C1192" s="25" t="s">
        <v>56</v>
      </c>
      <c r="D1192" s="25" t="s">
        <v>51</v>
      </c>
      <c r="E1192" s="26">
        <v>0</v>
      </c>
      <c r="F1192" s="25" t="s">
        <v>57</v>
      </c>
      <c r="G1192" s="27">
        <f>$H$1189</f>
        <v>56</v>
      </c>
      <c r="H1192" s="27">
        <f>$G1192+$E1192</f>
        <v>56</v>
      </c>
      <c r="I1192" s="28">
        <f>WORKDAY(Settings!$D$14,INT($G1192/HoursPerDay)+1,Holidays)</f>
        <v>46414</v>
      </c>
      <c r="J1192" s="28">
        <f>IF($E1192=0,$I1192,WORKDAY(Settings!$D$14,ROUNDUP($H1192/HoursPerDay,0),Holidays))</f>
        <v>46414</v>
      </c>
    </row>
    <row r="1193" spans="1:10" x14ac:dyDescent="0.25">
      <c r="A1193" s="22" t="s">
        <v>13</v>
      </c>
      <c r="B1193" s="22" t="s">
        <v>507</v>
      </c>
      <c r="C1193" s="22" t="s">
        <v>896</v>
      </c>
      <c r="D1193" s="22" t="s">
        <v>48</v>
      </c>
      <c r="E1193" s="23">
        <f>SUMIF($D1194:$D1195,"Task",$E1194:$E1195)</f>
        <v>0</v>
      </c>
      <c r="F1193" s="22"/>
      <c r="G1193" s="23"/>
      <c r="H1193" s="23"/>
      <c r="I1193" s="24">
        <f>MIN($I1194:$I1195)</f>
        <v>46406</v>
      </c>
      <c r="J1193" s="24">
        <f>MAX($J1194:$J1195)</f>
        <v>46414</v>
      </c>
    </row>
    <row r="1194" spans="1:10" x14ac:dyDescent="0.25">
      <c r="A1194" s="25" t="s">
        <v>13</v>
      </c>
      <c r="B1194" s="25" t="s">
        <v>509</v>
      </c>
      <c r="C1194" s="25" t="s">
        <v>54</v>
      </c>
      <c r="D1194" s="25" t="s">
        <v>51</v>
      </c>
      <c r="E1194" s="26">
        <v>0</v>
      </c>
      <c r="F1194" s="25" t="s">
        <v>78</v>
      </c>
      <c r="G1194" s="27">
        <f>$H$1191</f>
        <v>24</v>
      </c>
      <c r="H1194" s="27">
        <f>$G1194+$E1194</f>
        <v>24</v>
      </c>
      <c r="I1194" s="28">
        <f>WORKDAY(Settings!$D$14,INT($G1194/HoursPerDay)+1,Holidays)</f>
        <v>46406</v>
      </c>
      <c r="J1194" s="28">
        <f>IF($E1194=0,$I1194,WORKDAY(Settings!$D$14,ROUNDUP($H1194/HoursPerDay,0),Holidays))</f>
        <v>46406</v>
      </c>
    </row>
    <row r="1195" spans="1:10" x14ac:dyDescent="0.25">
      <c r="A1195" s="25" t="s">
        <v>13</v>
      </c>
      <c r="B1195" s="25" t="s">
        <v>510</v>
      </c>
      <c r="C1195" s="25" t="s">
        <v>56</v>
      </c>
      <c r="D1195" s="25" t="s">
        <v>51</v>
      </c>
      <c r="E1195" s="26">
        <v>0</v>
      </c>
      <c r="F1195" s="25" t="s">
        <v>57</v>
      </c>
      <c r="G1195" s="27">
        <f>$H$1192</f>
        <v>56</v>
      </c>
      <c r="H1195" s="27">
        <f>$G1195+$E1195</f>
        <v>56</v>
      </c>
      <c r="I1195" s="28">
        <f>WORKDAY(Settings!$D$14,INT($G1195/HoursPerDay)+1,Holidays)</f>
        <v>46414</v>
      </c>
      <c r="J1195" s="28">
        <f>IF($E1195=0,$I1195,WORKDAY(Settings!$D$14,ROUNDUP($H1195/HoursPerDay,0),Holidays))</f>
        <v>46414</v>
      </c>
    </row>
    <row r="1196" spans="1:10" x14ac:dyDescent="0.25">
      <c r="A1196" s="22" t="s">
        <v>13</v>
      </c>
      <c r="B1196" s="22" t="s">
        <v>512</v>
      </c>
      <c r="C1196" s="22" t="s">
        <v>897</v>
      </c>
      <c r="D1196" s="22" t="s">
        <v>48</v>
      </c>
      <c r="E1196" s="23">
        <f>SUMIF($D1197:$D1199,"Task",$E1197:$E1199)</f>
        <v>0</v>
      </c>
      <c r="F1196" s="22"/>
      <c r="G1196" s="23"/>
      <c r="H1196" s="23"/>
      <c r="I1196" s="24">
        <f>MIN($I1197:$I1199)</f>
        <v>46406</v>
      </c>
      <c r="J1196" s="24">
        <f>MAX($J1197:$J1199)</f>
        <v>46414</v>
      </c>
    </row>
    <row r="1197" spans="1:10" x14ac:dyDescent="0.25">
      <c r="A1197" s="25" t="s">
        <v>13</v>
      </c>
      <c r="B1197" s="25" t="s">
        <v>514</v>
      </c>
      <c r="C1197" s="25" t="s">
        <v>54</v>
      </c>
      <c r="D1197" s="25" t="s">
        <v>51</v>
      </c>
      <c r="E1197" s="26">
        <v>0</v>
      </c>
      <c r="F1197" s="25" t="s">
        <v>78</v>
      </c>
      <c r="G1197" s="27">
        <f>$H$1194</f>
        <v>24</v>
      </c>
      <c r="H1197" s="27">
        <f>$G1197+$E1197</f>
        <v>24</v>
      </c>
      <c r="I1197" s="28">
        <f>WORKDAY(Settings!$D$14,INT($G1197/HoursPerDay)+1,Holidays)</f>
        <v>46406</v>
      </c>
      <c r="J1197" s="28">
        <f>IF($E1197=0,$I1197,WORKDAY(Settings!$D$14,ROUNDUP($H1197/HoursPerDay,0),Holidays))</f>
        <v>46406</v>
      </c>
    </row>
    <row r="1198" spans="1:10" x14ac:dyDescent="0.25">
      <c r="A1198" s="25" t="s">
        <v>13</v>
      </c>
      <c r="B1198" s="25" t="s">
        <v>515</v>
      </c>
      <c r="C1198" s="25" t="s">
        <v>56</v>
      </c>
      <c r="D1198" s="25" t="s">
        <v>51</v>
      </c>
      <c r="E1198" s="26">
        <v>0</v>
      </c>
      <c r="F1198" s="25" t="s">
        <v>57</v>
      </c>
      <c r="G1198" s="27">
        <f>$H$1195</f>
        <v>56</v>
      </c>
      <c r="H1198" s="27">
        <f>$G1198+$E1198</f>
        <v>56</v>
      </c>
      <c r="I1198" s="28">
        <f>WORKDAY(Settings!$D$14,INT($G1198/HoursPerDay)+1,Holidays)</f>
        <v>46414</v>
      </c>
      <c r="J1198" s="28">
        <f>IF($E1198=0,$I1198,WORKDAY(Settings!$D$14,ROUNDUP($H1198/HoursPerDay,0),Holidays))</f>
        <v>46414</v>
      </c>
    </row>
    <row r="1199" spans="1:10" x14ac:dyDescent="0.25">
      <c r="A1199" s="25" t="s">
        <v>13</v>
      </c>
      <c r="B1199" s="25" t="s">
        <v>516</v>
      </c>
      <c r="C1199" s="25" t="s">
        <v>59</v>
      </c>
      <c r="D1199" s="25" t="s">
        <v>51</v>
      </c>
      <c r="E1199" s="26">
        <v>0</v>
      </c>
      <c r="F1199" s="25" t="s">
        <v>60</v>
      </c>
      <c r="G1199" s="27">
        <f>$H$1182</f>
        <v>37</v>
      </c>
      <c r="H1199" s="27">
        <f>$G1199+$E1199</f>
        <v>37</v>
      </c>
      <c r="I1199" s="28">
        <f>WORKDAY(Settings!$D$14,INT($G1199/HoursPerDay)+1,Holidays)</f>
        <v>46408</v>
      </c>
      <c r="J1199" s="28">
        <f>IF($E1199=0,$I1199,WORKDAY(Settings!$D$14,ROUNDUP($H1199/HoursPerDay,0),Holidays))</f>
        <v>46408</v>
      </c>
    </row>
    <row r="1200" spans="1:10" x14ac:dyDescent="0.25">
      <c r="A1200" s="19" t="s">
        <v>13</v>
      </c>
      <c r="B1200" s="19" t="s">
        <v>227</v>
      </c>
      <c r="C1200" s="19" t="s">
        <v>898</v>
      </c>
      <c r="D1200" s="19" t="s">
        <v>45</v>
      </c>
      <c r="E1200" s="20">
        <f>SUMIF($D1201:$D1218,"Task",$E1201:$E1218)</f>
        <v>42</v>
      </c>
      <c r="F1200" s="19"/>
      <c r="G1200" s="20"/>
      <c r="H1200" s="20"/>
      <c r="I1200" s="21">
        <f>MIN($I1201:$I1218)</f>
        <v>46406</v>
      </c>
      <c r="J1200" s="21">
        <f>MAX($J1201:$J1218)</f>
        <v>46414</v>
      </c>
    </row>
    <row r="1201" spans="1:10" x14ac:dyDescent="0.25">
      <c r="A1201" s="22" t="s">
        <v>13</v>
      </c>
      <c r="B1201" s="22" t="s">
        <v>229</v>
      </c>
      <c r="C1201" s="22" t="s">
        <v>899</v>
      </c>
      <c r="D1201" s="22" t="s">
        <v>48</v>
      </c>
      <c r="E1201" s="23">
        <f>SUMIF($D1202:$D1205,"Task",$E1202:$E1205)</f>
        <v>14</v>
      </c>
      <c r="F1201" s="22"/>
      <c r="G1201" s="23"/>
      <c r="H1201" s="23"/>
      <c r="I1201" s="24">
        <f>MIN($I1202:$I1205)</f>
        <v>46406</v>
      </c>
      <c r="J1201" s="24">
        <f>MAX($J1202:$J1205)</f>
        <v>46409</v>
      </c>
    </row>
    <row r="1202" spans="1:10" x14ac:dyDescent="0.25">
      <c r="A1202" s="25" t="s">
        <v>13</v>
      </c>
      <c r="B1202" s="25" t="s">
        <v>231</v>
      </c>
      <c r="C1202" s="25" t="s">
        <v>50</v>
      </c>
      <c r="D1202" s="25" t="s">
        <v>51</v>
      </c>
      <c r="E1202" s="26">
        <v>1</v>
      </c>
      <c r="F1202" s="25" t="s">
        <v>561</v>
      </c>
      <c r="G1202" s="27">
        <f>$H$1184</f>
        <v>42</v>
      </c>
      <c r="H1202" s="27">
        <f>$G1202+$E1202</f>
        <v>43</v>
      </c>
      <c r="I1202" s="28">
        <f>WORKDAY(Settings!$D$14,INT($G1202/HoursPerDay)+1,Holidays)</f>
        <v>46409</v>
      </c>
      <c r="J1202" s="28">
        <f>IF($E1202=0,$I1202,WORKDAY(Settings!$D$14,ROUNDUP($H1202/HoursPerDay,0),Holidays))</f>
        <v>46409</v>
      </c>
    </row>
    <row r="1203" spans="1:10" x14ac:dyDescent="0.25">
      <c r="A1203" s="25" t="s">
        <v>13</v>
      </c>
      <c r="B1203" s="25" t="s">
        <v>232</v>
      </c>
      <c r="C1203" s="25" t="s">
        <v>54</v>
      </c>
      <c r="D1203" s="25" t="s">
        <v>51</v>
      </c>
      <c r="E1203" s="26">
        <v>5</v>
      </c>
      <c r="F1203" s="25" t="s">
        <v>78</v>
      </c>
      <c r="G1203" s="27">
        <f>$H$1197</f>
        <v>24</v>
      </c>
      <c r="H1203" s="27">
        <f>$G1203+$E1203</f>
        <v>29</v>
      </c>
      <c r="I1203" s="28">
        <f>WORKDAY(Settings!$D$14,INT($G1203/HoursPerDay)+1,Holidays)</f>
        <v>46406</v>
      </c>
      <c r="J1203" s="28">
        <f>IF($E1203=0,$I1203,WORKDAY(Settings!$D$14,ROUNDUP($H1203/HoursPerDay,0),Holidays))</f>
        <v>46407</v>
      </c>
    </row>
    <row r="1204" spans="1:10" x14ac:dyDescent="0.25">
      <c r="A1204" s="25" t="s">
        <v>13</v>
      </c>
      <c r="B1204" s="25" t="s">
        <v>233</v>
      </c>
      <c r="C1204" s="25" t="s">
        <v>56</v>
      </c>
      <c r="D1204" s="25" t="s">
        <v>51</v>
      </c>
      <c r="E1204" s="26">
        <v>5</v>
      </c>
      <c r="F1204" s="25" t="s">
        <v>561</v>
      </c>
      <c r="G1204" s="27">
        <f>$H$1202</f>
        <v>43</v>
      </c>
      <c r="H1204" s="27">
        <f>$G1204+$E1204</f>
        <v>48</v>
      </c>
      <c r="I1204" s="28">
        <f>WORKDAY(Settings!$D$14,INT($G1204/HoursPerDay)+1,Holidays)</f>
        <v>46409</v>
      </c>
      <c r="J1204" s="28">
        <f>IF($E1204=0,$I1204,WORKDAY(Settings!$D$14,ROUNDUP($H1204/HoursPerDay,0),Holidays))</f>
        <v>46409</v>
      </c>
    </row>
    <row r="1205" spans="1:10" x14ac:dyDescent="0.25">
      <c r="A1205" s="25" t="s">
        <v>13</v>
      </c>
      <c r="B1205" s="25" t="s">
        <v>373</v>
      </c>
      <c r="C1205" s="25" t="s">
        <v>59</v>
      </c>
      <c r="D1205" s="25" t="s">
        <v>51</v>
      </c>
      <c r="E1205" s="26">
        <v>3</v>
      </c>
      <c r="F1205" s="25" t="s">
        <v>60</v>
      </c>
      <c r="G1205" s="27">
        <f>$H$1199</f>
        <v>37</v>
      </c>
      <c r="H1205" s="27">
        <f>$G1205+$E1205</f>
        <v>40</v>
      </c>
      <c r="I1205" s="28">
        <f>WORKDAY(Settings!$D$14,INT($G1205/HoursPerDay)+1,Holidays)</f>
        <v>46408</v>
      </c>
      <c r="J1205" s="28">
        <f>IF($E1205=0,$I1205,WORKDAY(Settings!$D$14,ROUNDUP($H1205/HoursPerDay,0),Holidays))</f>
        <v>46408</v>
      </c>
    </row>
    <row r="1206" spans="1:10" x14ac:dyDescent="0.25">
      <c r="A1206" s="22" t="s">
        <v>13</v>
      </c>
      <c r="B1206" s="22" t="s">
        <v>234</v>
      </c>
      <c r="C1206" s="22" t="s">
        <v>900</v>
      </c>
      <c r="D1206" s="22" t="s">
        <v>48</v>
      </c>
      <c r="E1206" s="23">
        <f>SUMIF($D1207:$D1209,"Task",$E1207:$E1209)</f>
        <v>9</v>
      </c>
      <c r="F1206" s="22"/>
      <c r="G1206" s="23"/>
      <c r="H1206" s="23"/>
      <c r="I1206" s="24">
        <f>MIN($I1207:$I1209)</f>
        <v>46407</v>
      </c>
      <c r="J1206" s="24">
        <f>MAX($J1207:$J1209)</f>
        <v>46412</v>
      </c>
    </row>
    <row r="1207" spans="1:10" x14ac:dyDescent="0.25">
      <c r="A1207" s="25" t="s">
        <v>13</v>
      </c>
      <c r="B1207" s="25" t="s">
        <v>237</v>
      </c>
      <c r="C1207" s="25" t="s">
        <v>54</v>
      </c>
      <c r="D1207" s="25" t="s">
        <v>51</v>
      </c>
      <c r="E1207" s="26">
        <v>3</v>
      </c>
      <c r="F1207" s="25" t="s">
        <v>78</v>
      </c>
      <c r="G1207" s="27">
        <f>$H$1203</f>
        <v>29</v>
      </c>
      <c r="H1207" s="27">
        <f>$G1207+$E1207</f>
        <v>32</v>
      </c>
      <c r="I1207" s="28">
        <f>WORKDAY(Settings!$D$14,INT($G1207/HoursPerDay)+1,Holidays)</f>
        <v>46407</v>
      </c>
      <c r="J1207" s="28">
        <f>IF($E1207=0,$I1207,WORKDAY(Settings!$D$14,ROUNDUP($H1207/HoursPerDay,0),Holidays))</f>
        <v>46407</v>
      </c>
    </row>
    <row r="1208" spans="1:10" x14ac:dyDescent="0.25">
      <c r="A1208" s="25" t="s">
        <v>13</v>
      </c>
      <c r="B1208" s="25" t="s">
        <v>238</v>
      </c>
      <c r="C1208" s="25" t="s">
        <v>56</v>
      </c>
      <c r="D1208" s="25" t="s">
        <v>51</v>
      </c>
      <c r="E1208" s="26">
        <v>4</v>
      </c>
      <c r="F1208" s="25" t="s">
        <v>561</v>
      </c>
      <c r="G1208" s="27">
        <f>$H$1204</f>
        <v>48</v>
      </c>
      <c r="H1208" s="27">
        <f>$G1208+$E1208</f>
        <v>52</v>
      </c>
      <c r="I1208" s="28">
        <f>WORKDAY(Settings!$D$14,INT($G1208/HoursPerDay)+1,Holidays)</f>
        <v>46409</v>
      </c>
      <c r="J1208" s="28">
        <f>IF($E1208=0,$I1208,WORKDAY(Settings!$D$14,ROUNDUP($H1208/HoursPerDay,0),Holidays))</f>
        <v>46412</v>
      </c>
    </row>
    <row r="1209" spans="1:10" x14ac:dyDescent="0.25">
      <c r="A1209" s="25" t="s">
        <v>13</v>
      </c>
      <c r="B1209" s="25" t="s">
        <v>719</v>
      </c>
      <c r="C1209" s="25" t="s">
        <v>59</v>
      </c>
      <c r="D1209" s="25" t="s">
        <v>51</v>
      </c>
      <c r="E1209" s="26">
        <v>2</v>
      </c>
      <c r="F1209" s="25" t="s">
        <v>60</v>
      </c>
      <c r="G1209" s="27">
        <f>$H$1205</f>
        <v>40</v>
      </c>
      <c r="H1209" s="27">
        <f>$G1209+$E1209</f>
        <v>42</v>
      </c>
      <c r="I1209" s="28">
        <f>WORKDAY(Settings!$D$14,INT($G1209/HoursPerDay)+1,Holidays)</f>
        <v>46408</v>
      </c>
      <c r="J1209" s="28">
        <f>IF($E1209=0,$I1209,WORKDAY(Settings!$D$14,ROUNDUP($H1209/HoursPerDay,0),Holidays))</f>
        <v>46408</v>
      </c>
    </row>
    <row r="1210" spans="1:10" x14ac:dyDescent="0.25">
      <c r="A1210" s="22" t="s">
        <v>13</v>
      </c>
      <c r="B1210" s="22" t="s">
        <v>239</v>
      </c>
      <c r="C1210" s="22" t="s">
        <v>901</v>
      </c>
      <c r="D1210" s="22" t="s">
        <v>48</v>
      </c>
      <c r="E1210" s="23">
        <f>SUMIF($D1211:$D1212,"Task",$E1211:$E1212)</f>
        <v>4</v>
      </c>
      <c r="F1210" s="22"/>
      <c r="G1210" s="23"/>
      <c r="H1210" s="23"/>
      <c r="I1210" s="24">
        <f>MIN($I1211:$I1212)</f>
        <v>46407</v>
      </c>
      <c r="J1210" s="24">
        <f>MAX($J1211:$J1212)</f>
        <v>46412</v>
      </c>
    </row>
    <row r="1211" spans="1:10" x14ac:dyDescent="0.25">
      <c r="A1211" s="25" t="s">
        <v>13</v>
      </c>
      <c r="B1211" s="25" t="s">
        <v>242</v>
      </c>
      <c r="C1211" s="25" t="s">
        <v>54</v>
      </c>
      <c r="D1211" s="25" t="s">
        <v>51</v>
      </c>
      <c r="E1211" s="26">
        <v>2</v>
      </c>
      <c r="F1211" s="25" t="s">
        <v>78</v>
      </c>
      <c r="G1211" s="27">
        <f>$H$1207</f>
        <v>32</v>
      </c>
      <c r="H1211" s="27">
        <f>$G1211+$E1211</f>
        <v>34</v>
      </c>
      <c r="I1211" s="28">
        <f>WORKDAY(Settings!$D$14,INT($G1211/HoursPerDay)+1,Holidays)</f>
        <v>46407</v>
      </c>
      <c r="J1211" s="28">
        <f>IF($E1211=0,$I1211,WORKDAY(Settings!$D$14,ROUNDUP($H1211/HoursPerDay,0),Holidays))</f>
        <v>46407</v>
      </c>
    </row>
    <row r="1212" spans="1:10" x14ac:dyDescent="0.25">
      <c r="A1212" s="25" t="s">
        <v>13</v>
      </c>
      <c r="B1212" s="25" t="s">
        <v>243</v>
      </c>
      <c r="C1212" s="25" t="s">
        <v>56</v>
      </c>
      <c r="D1212" s="25" t="s">
        <v>51</v>
      </c>
      <c r="E1212" s="26">
        <v>2</v>
      </c>
      <c r="F1212" s="25" t="s">
        <v>561</v>
      </c>
      <c r="G1212" s="27">
        <f>$H$1208</f>
        <v>52</v>
      </c>
      <c r="H1212" s="27">
        <f>$G1212+$E1212</f>
        <v>54</v>
      </c>
      <c r="I1212" s="28">
        <f>WORKDAY(Settings!$D$14,INT($G1212/HoursPerDay)+1,Holidays)</f>
        <v>46412</v>
      </c>
      <c r="J1212" s="28">
        <f>IF($E1212=0,$I1212,WORKDAY(Settings!$D$14,ROUNDUP($H1212/HoursPerDay,0),Holidays))</f>
        <v>46412</v>
      </c>
    </row>
    <row r="1213" spans="1:10" x14ac:dyDescent="0.25">
      <c r="A1213" s="22" t="s">
        <v>13</v>
      </c>
      <c r="B1213" s="22" t="s">
        <v>244</v>
      </c>
      <c r="C1213" s="22" t="s">
        <v>902</v>
      </c>
      <c r="D1213" s="22" t="s">
        <v>48</v>
      </c>
      <c r="E1213" s="23">
        <f>SUMIF($D1214:$D1215,"Task",$E1214:$E1215)</f>
        <v>7</v>
      </c>
      <c r="F1213" s="22"/>
      <c r="G1213" s="23"/>
      <c r="H1213" s="23"/>
      <c r="I1213" s="24">
        <f>MIN($I1214:$I1215)</f>
        <v>46407</v>
      </c>
      <c r="J1213" s="24">
        <f>MAX($J1214:$J1215)</f>
        <v>46414</v>
      </c>
    </row>
    <row r="1214" spans="1:10" x14ac:dyDescent="0.25">
      <c r="A1214" s="25" t="s">
        <v>13</v>
      </c>
      <c r="B1214" s="25" t="s">
        <v>247</v>
      </c>
      <c r="C1214" s="25" t="s">
        <v>54</v>
      </c>
      <c r="D1214" s="25" t="s">
        <v>51</v>
      </c>
      <c r="E1214" s="26">
        <v>3</v>
      </c>
      <c r="F1214" s="25" t="s">
        <v>78</v>
      </c>
      <c r="G1214" s="27">
        <f>$H$1211</f>
        <v>34</v>
      </c>
      <c r="H1214" s="27">
        <f>$G1214+$E1214</f>
        <v>37</v>
      </c>
      <c r="I1214" s="28">
        <f>WORKDAY(Settings!$D$14,INT($G1214/HoursPerDay)+1,Holidays)</f>
        <v>46407</v>
      </c>
      <c r="J1214" s="28">
        <f>IF($E1214=0,$I1214,WORKDAY(Settings!$D$14,ROUNDUP($H1214/HoursPerDay,0),Holidays))</f>
        <v>46408</v>
      </c>
    </row>
    <row r="1215" spans="1:10" x14ac:dyDescent="0.25">
      <c r="A1215" s="25" t="s">
        <v>13</v>
      </c>
      <c r="B1215" s="25" t="s">
        <v>248</v>
      </c>
      <c r="C1215" s="25" t="s">
        <v>56</v>
      </c>
      <c r="D1215" s="25" t="s">
        <v>51</v>
      </c>
      <c r="E1215" s="26">
        <v>4</v>
      </c>
      <c r="F1215" s="25" t="s">
        <v>561</v>
      </c>
      <c r="G1215" s="27">
        <f>$H$1212</f>
        <v>54</v>
      </c>
      <c r="H1215" s="27">
        <f>$G1215+$E1215</f>
        <v>58</v>
      </c>
      <c r="I1215" s="28">
        <f>WORKDAY(Settings!$D$14,INT($G1215/HoursPerDay)+1,Holidays)</f>
        <v>46412</v>
      </c>
      <c r="J1215" s="28">
        <f>IF($E1215=0,$I1215,WORKDAY(Settings!$D$14,ROUNDUP($H1215/HoursPerDay,0),Holidays))</f>
        <v>46414</v>
      </c>
    </row>
    <row r="1216" spans="1:10" x14ac:dyDescent="0.25">
      <c r="A1216" s="22" t="s">
        <v>13</v>
      </c>
      <c r="B1216" s="22" t="s">
        <v>724</v>
      </c>
      <c r="C1216" s="22" t="s">
        <v>903</v>
      </c>
      <c r="D1216" s="22" t="s">
        <v>48</v>
      </c>
      <c r="E1216" s="23">
        <f>SUMIF($D1217:$D1218,"Task",$E1217:$E1218)</f>
        <v>8</v>
      </c>
      <c r="F1216" s="22"/>
      <c r="G1216" s="23"/>
      <c r="H1216" s="23"/>
      <c r="I1216" s="24">
        <f>MIN($I1217:$I1218)</f>
        <v>46408</v>
      </c>
      <c r="J1216" s="24">
        <f>MAX($J1217:$J1218)</f>
        <v>46414</v>
      </c>
    </row>
    <row r="1217" spans="1:10" x14ac:dyDescent="0.25">
      <c r="A1217" s="25" t="s">
        <v>13</v>
      </c>
      <c r="B1217" s="25" t="s">
        <v>727</v>
      </c>
      <c r="C1217" s="25" t="s">
        <v>54</v>
      </c>
      <c r="D1217" s="25" t="s">
        <v>51</v>
      </c>
      <c r="E1217" s="26">
        <v>4</v>
      </c>
      <c r="F1217" s="25" t="s">
        <v>78</v>
      </c>
      <c r="G1217" s="27">
        <f>$H$1214</f>
        <v>37</v>
      </c>
      <c r="H1217" s="27">
        <f>$G1217+$E1217</f>
        <v>41</v>
      </c>
      <c r="I1217" s="28">
        <f>WORKDAY(Settings!$D$14,INT($G1217/HoursPerDay)+1,Holidays)</f>
        <v>46408</v>
      </c>
      <c r="J1217" s="28">
        <f>IF($E1217=0,$I1217,WORKDAY(Settings!$D$14,ROUNDUP($H1217/HoursPerDay,0),Holidays))</f>
        <v>46408</v>
      </c>
    </row>
    <row r="1218" spans="1:10" x14ac:dyDescent="0.25">
      <c r="A1218" s="25" t="s">
        <v>13</v>
      </c>
      <c r="B1218" s="25" t="s">
        <v>728</v>
      </c>
      <c r="C1218" s="25" t="s">
        <v>56</v>
      </c>
      <c r="D1218" s="25" t="s">
        <v>51</v>
      </c>
      <c r="E1218" s="26">
        <v>4</v>
      </c>
      <c r="F1218" s="25" t="s">
        <v>561</v>
      </c>
      <c r="G1218" s="27">
        <f>$H$1215</f>
        <v>58</v>
      </c>
      <c r="H1218" s="27">
        <f>$G1218+$E1218</f>
        <v>62</v>
      </c>
      <c r="I1218" s="28">
        <f>WORKDAY(Settings!$D$14,INT($G1218/HoursPerDay)+1,Holidays)</f>
        <v>46414</v>
      </c>
      <c r="J1218" s="28">
        <f>IF($E1218=0,$I1218,WORKDAY(Settings!$D$14,ROUNDUP($H1218/HoursPerDay,0),Holidays))</f>
        <v>46414</v>
      </c>
    </row>
    <row r="1219" spans="1:10" x14ac:dyDescent="0.25">
      <c r="A1219" s="19" t="s">
        <v>13</v>
      </c>
      <c r="B1219" s="19" t="s">
        <v>249</v>
      </c>
      <c r="C1219" s="19" t="s">
        <v>904</v>
      </c>
      <c r="D1219" s="19" t="s">
        <v>45</v>
      </c>
      <c r="E1219" s="20">
        <f>SUMIF($D1220:$D1237,"Task",$E1220:$E1237)</f>
        <v>21</v>
      </c>
      <c r="F1219" s="19"/>
      <c r="G1219" s="20"/>
      <c r="H1219" s="20"/>
      <c r="I1219" s="21">
        <f>MIN($I1220:$I1237)</f>
        <v>46408</v>
      </c>
      <c r="J1219" s="21">
        <f>MAX($J1220:$J1237)</f>
        <v>46415</v>
      </c>
    </row>
    <row r="1220" spans="1:10" x14ac:dyDescent="0.25">
      <c r="A1220" s="22" t="s">
        <v>13</v>
      </c>
      <c r="B1220" s="22" t="s">
        <v>251</v>
      </c>
      <c r="C1220" s="22" t="s">
        <v>905</v>
      </c>
      <c r="D1220" s="22" t="s">
        <v>48</v>
      </c>
      <c r="E1220" s="23">
        <f>SUMIF($D1221:$D1224,"Task",$E1221:$E1224)</f>
        <v>0</v>
      </c>
      <c r="F1220" s="22"/>
      <c r="G1220" s="23"/>
      <c r="H1220" s="23"/>
      <c r="I1220" s="24">
        <f>MIN($I1221:$I1224)</f>
        <v>46408</v>
      </c>
      <c r="J1220" s="24">
        <f>MAX($J1221:$J1224)</f>
        <v>46414</v>
      </c>
    </row>
    <row r="1221" spans="1:10" x14ac:dyDescent="0.25">
      <c r="A1221" s="25" t="s">
        <v>13</v>
      </c>
      <c r="B1221" s="25" t="s">
        <v>253</v>
      </c>
      <c r="C1221" s="25" t="s">
        <v>50</v>
      </c>
      <c r="D1221" s="25" t="s">
        <v>51</v>
      </c>
      <c r="E1221" s="26">
        <v>0</v>
      </c>
      <c r="F1221" s="25" t="s">
        <v>561</v>
      </c>
      <c r="G1221" s="27">
        <f>$H$1218</f>
        <v>62</v>
      </c>
      <c r="H1221" s="27">
        <f>$G1221+$E1221</f>
        <v>62</v>
      </c>
      <c r="I1221" s="28">
        <f>WORKDAY(Settings!$D$14,INT($G1221/HoursPerDay)+1,Holidays)</f>
        <v>46414</v>
      </c>
      <c r="J1221" s="28">
        <f>IF($E1221=0,$I1221,WORKDAY(Settings!$D$14,ROUNDUP($H1221/HoursPerDay,0),Holidays))</f>
        <v>46414</v>
      </c>
    </row>
    <row r="1222" spans="1:10" x14ac:dyDescent="0.25">
      <c r="A1222" s="25" t="s">
        <v>13</v>
      </c>
      <c r="B1222" s="25" t="s">
        <v>254</v>
      </c>
      <c r="C1222" s="25" t="s">
        <v>54</v>
      </c>
      <c r="D1222" s="25" t="s">
        <v>51</v>
      </c>
      <c r="E1222" s="26">
        <v>0</v>
      </c>
      <c r="F1222" s="25" t="s">
        <v>78</v>
      </c>
      <c r="G1222" s="27">
        <f>$H$1217</f>
        <v>41</v>
      </c>
      <c r="H1222" s="27">
        <f>$G1222+$E1222</f>
        <v>41</v>
      </c>
      <c r="I1222" s="28">
        <f>WORKDAY(Settings!$D$14,INT($G1222/HoursPerDay)+1,Holidays)</f>
        <v>46408</v>
      </c>
      <c r="J1222" s="28">
        <f>IF($E1222=0,$I1222,WORKDAY(Settings!$D$14,ROUNDUP($H1222/HoursPerDay,0),Holidays))</f>
        <v>46408</v>
      </c>
    </row>
    <row r="1223" spans="1:10" x14ac:dyDescent="0.25">
      <c r="A1223" s="25" t="s">
        <v>13</v>
      </c>
      <c r="B1223" s="25" t="s">
        <v>255</v>
      </c>
      <c r="C1223" s="25" t="s">
        <v>56</v>
      </c>
      <c r="D1223" s="25" t="s">
        <v>51</v>
      </c>
      <c r="E1223" s="26">
        <v>0</v>
      </c>
      <c r="F1223" s="25" t="s">
        <v>561</v>
      </c>
      <c r="G1223" s="27">
        <f>$H$1221</f>
        <v>62</v>
      </c>
      <c r="H1223" s="27">
        <f>$G1223+$E1223</f>
        <v>62</v>
      </c>
      <c r="I1223" s="28">
        <f>WORKDAY(Settings!$D$14,INT($G1223/HoursPerDay)+1,Holidays)</f>
        <v>46414</v>
      </c>
      <c r="J1223" s="28">
        <f>IF($E1223=0,$I1223,WORKDAY(Settings!$D$14,ROUNDUP($H1223/HoursPerDay,0),Holidays))</f>
        <v>46414</v>
      </c>
    </row>
    <row r="1224" spans="1:10" x14ac:dyDescent="0.25">
      <c r="A1224" s="25" t="s">
        <v>13</v>
      </c>
      <c r="B1224" s="25" t="s">
        <v>524</v>
      </c>
      <c r="C1224" s="25" t="s">
        <v>59</v>
      </c>
      <c r="D1224" s="25" t="s">
        <v>51</v>
      </c>
      <c r="E1224" s="26">
        <v>0</v>
      </c>
      <c r="F1224" s="25" t="s">
        <v>60</v>
      </c>
      <c r="G1224" s="27">
        <f>$H$1209</f>
        <v>42</v>
      </c>
      <c r="H1224" s="27">
        <f>$G1224+$E1224</f>
        <v>42</v>
      </c>
      <c r="I1224" s="28">
        <f>WORKDAY(Settings!$D$14,INT($G1224/HoursPerDay)+1,Holidays)</f>
        <v>46409</v>
      </c>
      <c r="J1224" s="28">
        <f>IF($E1224=0,$I1224,WORKDAY(Settings!$D$14,ROUNDUP($H1224/HoursPerDay,0),Holidays))</f>
        <v>46409</v>
      </c>
    </row>
    <row r="1225" spans="1:10" x14ac:dyDescent="0.25">
      <c r="A1225" s="22" t="s">
        <v>13</v>
      </c>
      <c r="B1225" s="22" t="s">
        <v>256</v>
      </c>
      <c r="C1225" s="22" t="s">
        <v>906</v>
      </c>
      <c r="D1225" s="22" t="s">
        <v>48</v>
      </c>
      <c r="E1225" s="23">
        <f>SUMIF($D1226:$D1229,"Task",$E1226:$E1229)</f>
        <v>8</v>
      </c>
      <c r="F1225" s="22"/>
      <c r="G1225" s="23"/>
      <c r="H1225" s="23"/>
      <c r="I1225" s="24">
        <f>MIN($I1226:$I1229)</f>
        <v>46408</v>
      </c>
      <c r="J1225" s="24">
        <f>MAX($J1226:$J1229)</f>
        <v>46415</v>
      </c>
    </row>
    <row r="1226" spans="1:10" x14ac:dyDescent="0.25">
      <c r="A1226" s="25" t="s">
        <v>13</v>
      </c>
      <c r="B1226" s="25" t="s">
        <v>258</v>
      </c>
      <c r="C1226" s="25" t="s">
        <v>50</v>
      </c>
      <c r="D1226" s="25" t="s">
        <v>51</v>
      </c>
      <c r="E1226" s="26">
        <v>1</v>
      </c>
      <c r="F1226" s="25" t="s">
        <v>561</v>
      </c>
      <c r="G1226" s="27">
        <f>$H$1223</f>
        <v>62</v>
      </c>
      <c r="H1226" s="27">
        <f>$G1226+$E1226</f>
        <v>63</v>
      </c>
      <c r="I1226" s="28">
        <f>WORKDAY(Settings!$D$14,INT($G1226/HoursPerDay)+1,Holidays)</f>
        <v>46414</v>
      </c>
      <c r="J1226" s="28">
        <f>IF($E1226=0,$I1226,WORKDAY(Settings!$D$14,ROUNDUP($H1226/HoursPerDay,0),Holidays))</f>
        <v>46414</v>
      </c>
    </row>
    <row r="1227" spans="1:10" x14ac:dyDescent="0.25">
      <c r="A1227" s="25" t="s">
        <v>13</v>
      </c>
      <c r="B1227" s="25" t="s">
        <v>259</v>
      </c>
      <c r="C1227" s="25" t="s">
        <v>54</v>
      </c>
      <c r="D1227" s="25" t="s">
        <v>51</v>
      </c>
      <c r="E1227" s="26">
        <v>5</v>
      </c>
      <c r="F1227" s="25" t="s">
        <v>78</v>
      </c>
      <c r="G1227" s="27">
        <f>$H$1222</f>
        <v>41</v>
      </c>
      <c r="H1227" s="27">
        <f>$G1227+$E1227</f>
        <v>46</v>
      </c>
      <c r="I1227" s="28">
        <f>WORKDAY(Settings!$D$14,INT($G1227/HoursPerDay)+1,Holidays)</f>
        <v>46408</v>
      </c>
      <c r="J1227" s="28">
        <f>IF($E1227=0,$I1227,WORKDAY(Settings!$D$14,ROUNDUP($H1227/HoursPerDay,0),Holidays))</f>
        <v>46409</v>
      </c>
    </row>
    <row r="1228" spans="1:10" x14ac:dyDescent="0.25">
      <c r="A1228" s="25" t="s">
        <v>13</v>
      </c>
      <c r="B1228" s="25" t="s">
        <v>260</v>
      </c>
      <c r="C1228" s="25" t="s">
        <v>56</v>
      </c>
      <c r="D1228" s="25" t="s">
        <v>51</v>
      </c>
      <c r="E1228" s="26">
        <v>1</v>
      </c>
      <c r="F1228" s="25" t="s">
        <v>561</v>
      </c>
      <c r="G1228" s="27">
        <f>$H$1226</f>
        <v>63</v>
      </c>
      <c r="H1228" s="27">
        <f>$G1228+$E1228</f>
        <v>64</v>
      </c>
      <c r="I1228" s="28">
        <f>WORKDAY(Settings!$D$14,INT($G1228/HoursPerDay)+1,Holidays)</f>
        <v>46415</v>
      </c>
      <c r="J1228" s="28">
        <f>IF($E1228=0,$I1228,WORKDAY(Settings!$D$14,ROUNDUP($H1228/HoursPerDay,0),Holidays))</f>
        <v>46415</v>
      </c>
    </row>
    <row r="1229" spans="1:10" x14ac:dyDescent="0.25">
      <c r="A1229" s="25" t="s">
        <v>13</v>
      </c>
      <c r="B1229" s="25" t="s">
        <v>526</v>
      </c>
      <c r="C1229" s="25" t="s">
        <v>59</v>
      </c>
      <c r="D1229" s="25" t="s">
        <v>51</v>
      </c>
      <c r="E1229" s="26">
        <v>1</v>
      </c>
      <c r="F1229" s="25" t="s">
        <v>60</v>
      </c>
      <c r="G1229" s="27">
        <f>$H$1224</f>
        <v>42</v>
      </c>
      <c r="H1229" s="27">
        <f>$G1229+$E1229</f>
        <v>43</v>
      </c>
      <c r="I1229" s="28">
        <f>WORKDAY(Settings!$D$14,INT($G1229/HoursPerDay)+1,Holidays)</f>
        <v>46409</v>
      </c>
      <c r="J1229" s="28">
        <f>IF($E1229=0,$I1229,WORKDAY(Settings!$D$14,ROUNDUP($H1229/HoursPerDay,0),Holidays))</f>
        <v>46409</v>
      </c>
    </row>
    <row r="1230" spans="1:10" x14ac:dyDescent="0.25">
      <c r="A1230" s="22" t="s">
        <v>13</v>
      </c>
      <c r="B1230" s="22" t="s">
        <v>261</v>
      </c>
      <c r="C1230" s="22" t="s">
        <v>907</v>
      </c>
      <c r="D1230" s="22" t="s">
        <v>48</v>
      </c>
      <c r="E1230" s="23">
        <f>SUMIF($D1231:$D1233,"Task",$E1231:$E1233)</f>
        <v>6</v>
      </c>
      <c r="F1230" s="22"/>
      <c r="G1230" s="23"/>
      <c r="H1230" s="23"/>
      <c r="I1230" s="24">
        <f>MIN($I1231:$I1233)</f>
        <v>46409</v>
      </c>
      <c r="J1230" s="24">
        <f>MAX($J1231:$J1233)</f>
        <v>46415</v>
      </c>
    </row>
    <row r="1231" spans="1:10" x14ac:dyDescent="0.25">
      <c r="A1231" s="25" t="s">
        <v>13</v>
      </c>
      <c r="B1231" s="25" t="s">
        <v>263</v>
      </c>
      <c r="C1231" s="25" t="s">
        <v>50</v>
      </c>
      <c r="D1231" s="25" t="s">
        <v>51</v>
      </c>
      <c r="E1231" s="26">
        <v>1</v>
      </c>
      <c r="F1231" s="25" t="s">
        <v>561</v>
      </c>
      <c r="G1231" s="27">
        <f>$H$1228</f>
        <v>64</v>
      </c>
      <c r="H1231" s="27">
        <f>$G1231+$E1231</f>
        <v>65</v>
      </c>
      <c r="I1231" s="28">
        <f>WORKDAY(Settings!$D$14,INT($G1231/HoursPerDay)+1,Holidays)</f>
        <v>46415</v>
      </c>
      <c r="J1231" s="28">
        <f>IF($E1231=0,$I1231,WORKDAY(Settings!$D$14,ROUNDUP($H1231/HoursPerDay,0),Holidays))</f>
        <v>46415</v>
      </c>
    </row>
    <row r="1232" spans="1:10" x14ac:dyDescent="0.25">
      <c r="A1232" s="25" t="s">
        <v>13</v>
      </c>
      <c r="B1232" s="25" t="s">
        <v>264</v>
      </c>
      <c r="C1232" s="25" t="s">
        <v>54</v>
      </c>
      <c r="D1232" s="25" t="s">
        <v>51</v>
      </c>
      <c r="E1232" s="26">
        <v>4</v>
      </c>
      <c r="F1232" s="25" t="s">
        <v>78</v>
      </c>
      <c r="G1232" s="27">
        <f>$H$1227</f>
        <v>46</v>
      </c>
      <c r="H1232" s="27">
        <f>$G1232+$E1232</f>
        <v>50</v>
      </c>
      <c r="I1232" s="28">
        <f>WORKDAY(Settings!$D$14,INT($G1232/HoursPerDay)+1,Holidays)</f>
        <v>46409</v>
      </c>
      <c r="J1232" s="28">
        <f>IF($E1232=0,$I1232,WORKDAY(Settings!$D$14,ROUNDUP($H1232/HoursPerDay,0),Holidays))</f>
        <v>46412</v>
      </c>
    </row>
    <row r="1233" spans="1:10" x14ac:dyDescent="0.25">
      <c r="A1233" s="25" t="s">
        <v>13</v>
      </c>
      <c r="B1233" s="25" t="s">
        <v>265</v>
      </c>
      <c r="C1233" s="25" t="s">
        <v>56</v>
      </c>
      <c r="D1233" s="25" t="s">
        <v>51</v>
      </c>
      <c r="E1233" s="26">
        <v>1</v>
      </c>
      <c r="F1233" s="25" t="s">
        <v>561</v>
      </c>
      <c r="G1233" s="27">
        <f>$H$1231</f>
        <v>65</v>
      </c>
      <c r="H1233" s="27">
        <f>$G1233+$E1233</f>
        <v>66</v>
      </c>
      <c r="I1233" s="28">
        <f>WORKDAY(Settings!$D$14,INT($G1233/HoursPerDay)+1,Holidays)</f>
        <v>46415</v>
      </c>
      <c r="J1233" s="28">
        <f>IF($E1233=0,$I1233,WORKDAY(Settings!$D$14,ROUNDUP($H1233/HoursPerDay,0),Holidays))</f>
        <v>46415</v>
      </c>
    </row>
    <row r="1234" spans="1:10" x14ac:dyDescent="0.25">
      <c r="A1234" s="22" t="s">
        <v>13</v>
      </c>
      <c r="B1234" s="22" t="s">
        <v>381</v>
      </c>
      <c r="C1234" s="22" t="s">
        <v>908</v>
      </c>
      <c r="D1234" s="22" t="s">
        <v>48</v>
      </c>
      <c r="E1234" s="23">
        <f>SUMIF($D1235:$D1237,"Task",$E1235:$E1237)</f>
        <v>7</v>
      </c>
      <c r="F1234" s="22"/>
      <c r="G1234" s="23"/>
      <c r="H1234" s="23"/>
      <c r="I1234" s="24">
        <f>MIN($I1235:$I1237)</f>
        <v>46409</v>
      </c>
      <c r="J1234" s="24">
        <f>MAX($J1235:$J1237)</f>
        <v>46415</v>
      </c>
    </row>
    <row r="1235" spans="1:10" x14ac:dyDescent="0.25">
      <c r="A1235" s="25" t="s">
        <v>13</v>
      </c>
      <c r="B1235" s="25" t="s">
        <v>384</v>
      </c>
      <c r="C1235" s="25" t="s">
        <v>54</v>
      </c>
      <c r="D1235" s="25" t="s">
        <v>51</v>
      </c>
      <c r="E1235" s="26">
        <v>3</v>
      </c>
      <c r="F1235" s="25" t="s">
        <v>78</v>
      </c>
      <c r="G1235" s="27">
        <f>$H$1232</f>
        <v>50</v>
      </c>
      <c r="H1235" s="27">
        <f>$G1235+$E1235</f>
        <v>53</v>
      </c>
      <c r="I1235" s="28">
        <f>WORKDAY(Settings!$D$14,INT($G1235/HoursPerDay)+1,Holidays)</f>
        <v>46412</v>
      </c>
      <c r="J1235" s="28">
        <f>IF($E1235=0,$I1235,WORKDAY(Settings!$D$14,ROUNDUP($H1235/HoursPerDay,0),Holidays))</f>
        <v>46412</v>
      </c>
    </row>
    <row r="1236" spans="1:10" x14ac:dyDescent="0.25">
      <c r="A1236" s="25" t="s">
        <v>13</v>
      </c>
      <c r="B1236" s="25" t="s">
        <v>530</v>
      </c>
      <c r="C1236" s="25" t="s">
        <v>56</v>
      </c>
      <c r="D1236" s="25" t="s">
        <v>51</v>
      </c>
      <c r="E1236" s="26">
        <v>2</v>
      </c>
      <c r="F1236" s="25" t="s">
        <v>561</v>
      </c>
      <c r="G1236" s="27">
        <f>$H$1233</f>
        <v>66</v>
      </c>
      <c r="H1236" s="27">
        <f>$G1236+$E1236</f>
        <v>68</v>
      </c>
      <c r="I1236" s="28">
        <f>WORKDAY(Settings!$D$14,INT($G1236/HoursPerDay)+1,Holidays)</f>
        <v>46415</v>
      </c>
      <c r="J1236" s="28">
        <f>IF($E1236=0,$I1236,WORKDAY(Settings!$D$14,ROUNDUP($H1236/HoursPerDay,0),Holidays))</f>
        <v>46415</v>
      </c>
    </row>
    <row r="1237" spans="1:10" x14ac:dyDescent="0.25">
      <c r="A1237" s="25" t="s">
        <v>13</v>
      </c>
      <c r="B1237" s="25" t="s">
        <v>531</v>
      </c>
      <c r="C1237" s="25" t="s">
        <v>59</v>
      </c>
      <c r="D1237" s="25" t="s">
        <v>51</v>
      </c>
      <c r="E1237" s="26">
        <v>2</v>
      </c>
      <c r="F1237" s="25" t="s">
        <v>60</v>
      </c>
      <c r="G1237" s="27">
        <f>$H$1229</f>
        <v>43</v>
      </c>
      <c r="H1237" s="27">
        <f>$G1237+$E1237</f>
        <v>45</v>
      </c>
      <c r="I1237" s="28">
        <f>WORKDAY(Settings!$D$14,INT($G1237/HoursPerDay)+1,Holidays)</f>
        <v>46409</v>
      </c>
      <c r="J1237" s="28">
        <f>IF($E1237=0,$I1237,WORKDAY(Settings!$D$14,ROUNDUP($H1237/HoursPerDay,0),Holidays))</f>
        <v>46409</v>
      </c>
    </row>
  </sheetData>
  <autoFilter ref="A1:J123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Normal="100" workbookViewId="0">
      <selection activeCell="H11" sqref="H11"/>
    </sheetView>
  </sheetViews>
  <sheetFormatPr defaultColWidth="8.7109375" defaultRowHeight="15" x14ac:dyDescent="0.25"/>
  <cols>
    <col min="1" max="1" width="14" customWidth="1"/>
    <col min="2" max="2" width="12.85546875" bestFit="1" customWidth="1"/>
    <col min="3" max="3" width="14.85546875" bestFit="1" customWidth="1"/>
    <col min="4" max="4" width="12.28515625" bestFit="1" customWidth="1"/>
    <col min="5" max="5" width="12.85546875" bestFit="1" customWidth="1"/>
    <col min="6" max="6" width="11" customWidth="1"/>
    <col min="7" max="7" width="18.7109375" customWidth="1"/>
    <col min="8" max="8" width="18.140625" customWidth="1"/>
    <col min="9" max="9" width="20.7109375" customWidth="1"/>
  </cols>
  <sheetData>
    <row r="1" spans="1:9" ht="16.5" x14ac:dyDescent="0.25">
      <c r="A1" s="29" t="s">
        <v>909</v>
      </c>
    </row>
    <row r="2" spans="1:9" x14ac:dyDescent="0.25">
      <c r="A2" s="6" t="s">
        <v>6</v>
      </c>
      <c r="B2" s="6" t="s">
        <v>910</v>
      </c>
      <c r="C2" s="6" t="s">
        <v>911</v>
      </c>
      <c r="D2" s="6" t="s">
        <v>38</v>
      </c>
      <c r="E2" s="6" t="s">
        <v>39</v>
      </c>
    </row>
    <row r="3" spans="1:9" x14ac:dyDescent="0.25">
      <c r="A3" t="s">
        <v>9</v>
      </c>
      <c r="B3" s="7">
        <f>SUMIFS('All Modules WBS'!$E:$E,'All Modules WBS'!$A:$A,$A3,'All Modules WBS'!$D:$D,"Task")</f>
        <v>564</v>
      </c>
      <c r="C3" s="7">
        <f>NETWORKDAYS($D3,$E3,Holidays)</f>
        <v>22</v>
      </c>
      <c r="D3" s="8">
        <f>'All Modules WBS'!$I$2</f>
        <v>46219</v>
      </c>
      <c r="E3" s="8">
        <f>'All Modules WBS'!$J$2</f>
        <v>46248</v>
      </c>
    </row>
    <row r="4" spans="1:9" x14ac:dyDescent="0.25">
      <c r="A4" t="s">
        <v>10</v>
      </c>
      <c r="B4" s="7">
        <f>SUMIFS('All Modules WBS'!$E:$E,'All Modules WBS'!$A:$A,$A4,'All Modules WBS'!$D:$D,"Task")</f>
        <v>400</v>
      </c>
      <c r="C4" s="7">
        <f>NETWORKDAYS($D4,$E4,Holidays)</f>
        <v>16</v>
      </c>
      <c r="D4" s="8">
        <f>'All Modules WBS'!$I$223</f>
        <v>46260</v>
      </c>
      <c r="E4" s="8">
        <f>'All Modules WBS'!$J$223</f>
        <v>46281</v>
      </c>
    </row>
    <row r="5" spans="1:9" x14ac:dyDescent="0.25">
      <c r="A5" t="s">
        <v>11</v>
      </c>
      <c r="B5" s="7">
        <f>SUMIFS('All Modules WBS'!$E:$E,'All Modules WBS'!$A:$A,$A5,'All Modules WBS'!$D:$D,"Task")</f>
        <v>558</v>
      </c>
      <c r="C5" s="7">
        <f>NETWORKDAYS($D5,$E5,Holidays)</f>
        <v>23</v>
      </c>
      <c r="D5" s="8">
        <f>'All Modules WBS'!$I$433</f>
        <v>46293</v>
      </c>
      <c r="E5" s="8">
        <f>'All Modules WBS'!$J$433</f>
        <v>46324</v>
      </c>
    </row>
    <row r="6" spans="1:9" x14ac:dyDescent="0.25">
      <c r="A6" t="s">
        <v>12</v>
      </c>
      <c r="B6" s="7">
        <f>SUMIFS('All Modules WBS'!$E:$E,'All Modules WBS'!$A:$A,$A6,'All Modules WBS'!$D:$D,"Task")</f>
        <v>1045</v>
      </c>
      <c r="C6" s="7">
        <f>NETWORKDAYS($D6,$E6,Holidays)</f>
        <v>39</v>
      </c>
      <c r="D6" s="8">
        <f>'All Modules WBS'!$I$620</f>
        <v>46336</v>
      </c>
      <c r="E6" s="8">
        <f>'All Modules WBS'!$J$620</f>
        <v>46391</v>
      </c>
    </row>
    <row r="7" spans="1:9" x14ac:dyDescent="0.25">
      <c r="A7" t="s">
        <v>13</v>
      </c>
      <c r="B7" s="7">
        <f>SUMIFS('All Modules WBS'!$E:$E,'All Modules WBS'!$A:$A,$A7,'All Modules WBS'!$D:$D,"Task")</f>
        <v>286</v>
      </c>
      <c r="C7" s="7">
        <f>NETWORKDAYS($D7,$E7,Holidays)</f>
        <v>10</v>
      </c>
      <c r="D7" s="8">
        <f>'All Modules WBS'!$I$1010</f>
        <v>46401</v>
      </c>
      <c r="E7" s="8">
        <f>'All Modules WBS'!$J$1010</f>
        <v>46415</v>
      </c>
    </row>
    <row r="8" spans="1:9" x14ac:dyDescent="0.25">
      <c r="A8" s="2" t="s">
        <v>912</v>
      </c>
      <c r="B8" s="30">
        <f>SUM(B3:B7)</f>
        <v>2853</v>
      </c>
      <c r="C8" s="30">
        <f>NETWORKDAYS(D8,E8,Holidays)</f>
        <v>138</v>
      </c>
      <c r="D8" s="31">
        <f>MIN(D3:D7)</f>
        <v>46219</v>
      </c>
      <c r="E8" s="31">
        <f>MAX(E3:E7)</f>
        <v>46415</v>
      </c>
    </row>
    <row r="10" spans="1:9" ht="16.5" x14ac:dyDescent="0.25">
      <c r="A10" s="29" t="s">
        <v>913</v>
      </c>
    </row>
    <row r="11" spans="1:9" x14ac:dyDescent="0.25">
      <c r="A11" s="32" t="s">
        <v>35</v>
      </c>
      <c r="B11" s="6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910</v>
      </c>
      <c r="H11" s="6" t="s">
        <v>914</v>
      </c>
      <c r="I11" s="6" t="s">
        <v>915</v>
      </c>
    </row>
    <row r="12" spans="1:9" x14ac:dyDescent="0.25">
      <c r="A12" t="s">
        <v>78</v>
      </c>
      <c r="B12" s="7">
        <f>SUMIFS('All Modules WBS'!$E:$E,'All Modules WBS'!$F:$F,$A12,'All Modules WBS'!$A:$A,B$11,'All Modules WBS'!$D:$D,"Task")</f>
        <v>150</v>
      </c>
      <c r="C12" s="7">
        <f>SUMIFS('All Modules WBS'!$E:$E,'All Modules WBS'!$F:$F,$A12,'All Modules WBS'!$A:$A,C$11,'All Modules WBS'!$D:$D,"Task")</f>
        <v>79</v>
      </c>
      <c r="D12" s="7">
        <f>SUMIFS('All Modules WBS'!$E:$E,'All Modules WBS'!$F:$F,$A12,'All Modules WBS'!$A:$A,D$11,'All Modules WBS'!$D:$D,"Task")</f>
        <v>110</v>
      </c>
      <c r="E12" s="7">
        <f>SUMIFS('All Modules WBS'!$E:$E,'All Modules WBS'!$F:$F,$A12,'All Modules WBS'!$A:$A,E$11,'All Modules WBS'!$D:$D,"Task")</f>
        <v>262</v>
      </c>
      <c r="F12" s="7">
        <f>SUMIFS('All Modules WBS'!$E:$E,'All Modules WBS'!$F:$F,$A12,'All Modules WBS'!$A:$A,F$11,'All Modules WBS'!$D:$D,"Task")</f>
        <v>53</v>
      </c>
      <c r="G12" s="7">
        <f>SUM(B12:F12)</f>
        <v>654</v>
      </c>
      <c r="H12" s="8">
        <f>'All Modules WBS'!$I$21</f>
        <v>46219</v>
      </c>
      <c r="I12" s="8">
        <f>'All Modules WBS'!$J$1235</f>
        <v>46412</v>
      </c>
    </row>
    <row r="13" spans="1:9" x14ac:dyDescent="0.25">
      <c r="A13" t="s">
        <v>52</v>
      </c>
      <c r="B13" s="7">
        <f>SUMIFS('All Modules WBS'!$E:$E,'All Modules WBS'!$F:$F,$A13,'All Modules WBS'!$A:$A,B$11,'All Modules WBS'!$D:$D,"Task")</f>
        <v>144</v>
      </c>
      <c r="C13" s="7">
        <f>SUMIFS('All Modules WBS'!$E:$E,'All Modules WBS'!$F:$F,$A13,'All Modules WBS'!$A:$A,C$11,'All Modules WBS'!$D:$D,"Task")</f>
        <v>111</v>
      </c>
      <c r="D13" s="7">
        <f>SUMIFS('All Modules WBS'!$E:$E,'All Modules WBS'!$F:$F,$A13,'All Modules WBS'!$A:$A,D$11,'All Modules WBS'!$D:$D,"Task")</f>
        <v>151</v>
      </c>
      <c r="E13" s="7">
        <f>SUMIFS('All Modules WBS'!$E:$E,'All Modules WBS'!$F:$F,$A13,'All Modules WBS'!$A:$A,E$11,'All Modules WBS'!$D:$D,"Task")</f>
        <v>200</v>
      </c>
      <c r="F13" s="7">
        <f>SUMIFS('All Modules WBS'!$E:$E,'All Modules WBS'!$F:$F,$A13,'All Modules WBS'!$A:$A,F$11,'All Modules WBS'!$D:$D,"Task")</f>
        <v>64</v>
      </c>
      <c r="G13" s="7">
        <f>SUM(B13:F13)</f>
        <v>670</v>
      </c>
      <c r="H13" s="8">
        <f>'All Modules WBS'!$I$5</f>
        <v>46219</v>
      </c>
      <c r="I13" s="8">
        <f>'All Modules WBS'!$J$1118</f>
        <v>46415</v>
      </c>
    </row>
    <row r="14" spans="1:9" x14ac:dyDescent="0.25">
      <c r="A14" t="s">
        <v>57</v>
      </c>
      <c r="B14" s="7">
        <f>SUMIFS('All Modules WBS'!$E:$E,'All Modules WBS'!$F:$F,$A14,'All Modules WBS'!$A:$A,B$11,'All Modules WBS'!$D:$D,"Task")</f>
        <v>147</v>
      </c>
      <c r="C14" s="7">
        <f>SUMIFS('All Modules WBS'!$E:$E,'All Modules WBS'!$F:$F,$A14,'All Modules WBS'!$A:$A,C$11,'All Modules WBS'!$D:$D,"Task")</f>
        <v>100</v>
      </c>
      <c r="D14" s="7">
        <f>SUMIFS('All Modules WBS'!$E:$E,'All Modules WBS'!$F:$F,$A14,'All Modules WBS'!$A:$A,D$11,'All Modules WBS'!$D:$D,"Task")</f>
        <v>138</v>
      </c>
      <c r="E14" s="7">
        <f>SUMIFS('All Modules WBS'!$E:$E,'All Modules WBS'!$F:$F,$A14,'All Modules WBS'!$A:$A,E$11,'All Modules WBS'!$D:$D,"Task")</f>
        <v>268</v>
      </c>
      <c r="F14" s="7">
        <f>SUMIFS('All Modules WBS'!$E:$E,'All Modules WBS'!$F:$F,$A14,'All Modules WBS'!$A:$A,F$11,'All Modules WBS'!$D:$D,"Task")</f>
        <v>56</v>
      </c>
      <c r="G14" s="7">
        <f>SUM(B14:F14)</f>
        <v>709</v>
      </c>
      <c r="H14" s="8">
        <f>'All Modules WBS'!$I$7</f>
        <v>46219</v>
      </c>
      <c r="I14" s="8">
        <f>'All Modules WBS'!$J$1124</f>
        <v>46412</v>
      </c>
    </row>
    <row r="15" spans="1:9" x14ac:dyDescent="0.25">
      <c r="A15" t="s">
        <v>60</v>
      </c>
      <c r="B15" s="7">
        <f>SUMIFS('All Modules WBS'!$E:$E,'All Modules WBS'!$F:$F,$A15,'All Modules WBS'!$A:$A,B$11,'All Modules WBS'!$D:$D,"Task")</f>
        <v>123</v>
      </c>
      <c r="C15" s="7">
        <f>SUMIFS('All Modules WBS'!$E:$E,'All Modules WBS'!$F:$F,$A15,'All Modules WBS'!$A:$A,C$11,'All Modules WBS'!$D:$D,"Task")</f>
        <v>110</v>
      </c>
      <c r="D15" s="7">
        <f>SUMIFS('All Modules WBS'!$E:$E,'All Modules WBS'!$F:$F,$A15,'All Modules WBS'!$A:$A,D$11,'All Modules WBS'!$D:$D,"Task")</f>
        <v>159</v>
      </c>
      <c r="E15" s="7">
        <f>SUMIFS('All Modules WBS'!$E:$E,'All Modules WBS'!$F:$F,$A15,'All Modules WBS'!$A:$A,E$11,'All Modules WBS'!$D:$D,"Task")</f>
        <v>248</v>
      </c>
      <c r="F15" s="7">
        <f>SUMIFS('All Modules WBS'!$E:$E,'All Modules WBS'!$F:$F,$A15,'All Modules WBS'!$A:$A,F$11,'All Modules WBS'!$D:$D,"Task")</f>
        <v>45</v>
      </c>
      <c r="G15" s="7">
        <f>SUM(B15:F15)</f>
        <v>685</v>
      </c>
      <c r="H15" s="8">
        <f>'All Modules WBS'!$I$8</f>
        <v>46219</v>
      </c>
      <c r="I15" s="8">
        <f>'All Modules WBS'!$J$1237</f>
        <v>46409</v>
      </c>
    </row>
    <row r="16" spans="1:9" x14ac:dyDescent="0.25">
      <c r="A16" t="s">
        <v>561</v>
      </c>
      <c r="B16" s="7">
        <f>SUMIFS('All Modules WBS'!$E:$E,'All Modules WBS'!$F:$F,$A16,'All Modules WBS'!$A:$A,B$11,'All Modules WBS'!$D:$D,"Task")</f>
        <v>0</v>
      </c>
      <c r="C16" s="7">
        <f>SUMIFS('All Modules WBS'!$E:$E,'All Modules WBS'!$F:$F,$A16,'All Modules WBS'!$A:$A,C$11,'All Modules WBS'!$D:$D,"Task")</f>
        <v>0</v>
      </c>
      <c r="D16" s="7">
        <f>SUMIFS('All Modules WBS'!$E:$E,'All Modules WBS'!$F:$F,$A16,'All Modules WBS'!$A:$A,D$11,'All Modules WBS'!$D:$D,"Task")</f>
        <v>0</v>
      </c>
      <c r="E16" s="7">
        <f>SUMIFS('All Modules WBS'!$E:$E,'All Modules WBS'!$F:$F,$A16,'All Modules WBS'!$A:$A,E$11,'All Modules WBS'!$D:$D,"Task")</f>
        <v>67</v>
      </c>
      <c r="F16" s="7">
        <f>SUMIFS('All Modules WBS'!$E:$E,'All Modules WBS'!$F:$F,$A16,'All Modules WBS'!$A:$A,F$11,'All Modules WBS'!$D:$D,"Task")</f>
        <v>68</v>
      </c>
      <c r="G16" s="7">
        <f>SUM(B16:F16)</f>
        <v>135</v>
      </c>
      <c r="H16" s="8">
        <f>'All Modules WBS'!$I$645</f>
        <v>46336</v>
      </c>
      <c r="I16" s="8">
        <f>'All Modules WBS'!$J$1236</f>
        <v>46415</v>
      </c>
    </row>
    <row r="17" spans="1:7" x14ac:dyDescent="0.25">
      <c r="A17" s="2" t="s">
        <v>912</v>
      </c>
      <c r="B17" s="30">
        <f t="shared" ref="B17:G17" si="0">SUM(B12:B16)</f>
        <v>564</v>
      </c>
      <c r="C17" s="30">
        <f t="shared" si="0"/>
        <v>400</v>
      </c>
      <c r="D17" s="30">
        <f t="shared" si="0"/>
        <v>558</v>
      </c>
      <c r="E17" s="30">
        <f t="shared" si="0"/>
        <v>1045</v>
      </c>
      <c r="F17" s="30">
        <f t="shared" si="0"/>
        <v>286</v>
      </c>
      <c r="G17" s="30">
        <f t="shared" si="0"/>
        <v>2853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Settings</vt:lpstr>
      <vt:lpstr>Holidays</vt:lpstr>
      <vt:lpstr>All Modules WBS</vt:lpstr>
      <vt:lpstr>Summary</vt:lpstr>
      <vt:lpstr>BufferDays</vt:lpstr>
      <vt:lpstr>Holidays</vt:lpstr>
      <vt:lpstr>HoursPerDay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Jani</cp:lastModifiedBy>
  <cp:revision>0</cp:revision>
  <dcterms:created xsi:type="dcterms:W3CDTF">2026-07-06T05:36:02Z</dcterms:created>
  <dcterms:modified xsi:type="dcterms:W3CDTF">2026-07-09T09:20:02Z</dcterms:modified>
  <dc:language>en-US</dc:language>
</cp:coreProperties>
</file>